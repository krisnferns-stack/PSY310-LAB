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sy Lab\Delay Discounting\delay discouting excel\"/>
    </mc:Choice>
  </mc:AlternateContent>
  <bookViews>
    <workbookView xWindow="0" yWindow="0" windowWidth="19100" windowHeight="6270" activeTab="2"/>
  </bookViews>
  <sheets>
    <sheet name="parti_1" sheetId="2" r:id="rId1"/>
    <sheet name="parti_2" sheetId="3" r:id="rId2"/>
    <sheet name="parti_3" sheetId="4" r:id="rId3"/>
    <sheet name="parti_4" sheetId="5" r:id="rId4"/>
  </sheets>
  <definedNames>
    <definedName name="_xlnm._FilterDatabase" localSheetId="1" hidden="1">parti_2!$A$1:$F$101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3" i="2" l="1"/>
  <c r="F90" i="2"/>
  <c r="F65" i="2"/>
  <c r="F41" i="2"/>
  <c r="F29" i="2"/>
  <c r="F18" i="2"/>
  <c r="F9" i="2"/>
  <c r="F91" i="3"/>
  <c r="F85" i="3"/>
  <c r="F74" i="3"/>
  <c r="F67" i="3"/>
  <c r="F57" i="3"/>
  <c r="F47" i="3"/>
  <c r="E3" i="2"/>
  <c r="E4" i="2"/>
  <c r="F5" i="2" s="1"/>
  <c r="E5" i="2"/>
  <c r="E6" i="2"/>
  <c r="E7" i="2"/>
  <c r="F7" i="2" s="1"/>
  <c r="E8" i="2"/>
  <c r="E9" i="2"/>
  <c r="F10" i="2" s="1"/>
  <c r="E10" i="2"/>
  <c r="E11" i="2"/>
  <c r="E12" i="2"/>
  <c r="F13" i="2" s="1"/>
  <c r="E13" i="2"/>
  <c r="E14" i="2"/>
  <c r="E15" i="2"/>
  <c r="E16" i="2"/>
  <c r="E17" i="2"/>
  <c r="E18" i="2"/>
  <c r="E19" i="2"/>
  <c r="E20" i="2"/>
  <c r="E21" i="2"/>
  <c r="E22" i="2"/>
  <c r="F22" i="2" s="1"/>
  <c r="E23" i="2"/>
  <c r="E24" i="2"/>
  <c r="F25" i="2" s="1"/>
  <c r="E25" i="2"/>
  <c r="E26" i="2"/>
  <c r="F27" i="2" s="1"/>
  <c r="E27" i="2"/>
  <c r="E28" i="2"/>
  <c r="E29" i="2"/>
  <c r="E30" i="2"/>
  <c r="F31" i="2" s="1"/>
  <c r="E31" i="2"/>
  <c r="E32" i="2"/>
  <c r="E33" i="2"/>
  <c r="E34" i="2"/>
  <c r="E35" i="2"/>
  <c r="E36" i="2"/>
  <c r="E37" i="2"/>
  <c r="F38" i="2" s="1"/>
  <c r="E38" i="2"/>
  <c r="E39" i="2"/>
  <c r="F40" i="2" s="1"/>
  <c r="E40" i="2"/>
  <c r="E41" i="2"/>
  <c r="E42" i="2"/>
  <c r="E43" i="2"/>
  <c r="F44" i="2" s="1"/>
  <c r="E44" i="2"/>
  <c r="E45" i="2"/>
  <c r="E46" i="2"/>
  <c r="F47" i="2" s="1"/>
  <c r="E47" i="2"/>
  <c r="E48" i="2"/>
  <c r="F49" i="2" s="1"/>
  <c r="E49" i="2"/>
  <c r="E50" i="2"/>
  <c r="E51" i="2"/>
  <c r="F52" i="2" s="1"/>
  <c r="E52" i="2"/>
  <c r="E53" i="2"/>
  <c r="E54" i="2"/>
  <c r="F55" i="2" s="1"/>
  <c r="E55" i="2"/>
  <c r="E56" i="2"/>
  <c r="E57" i="2"/>
  <c r="E58" i="2"/>
  <c r="F59" i="2" s="1"/>
  <c r="E59" i="2"/>
  <c r="F60" i="2" s="1"/>
  <c r="E60" i="2"/>
  <c r="E61" i="2"/>
  <c r="E62" i="2"/>
  <c r="E63" i="2"/>
  <c r="E64" i="2"/>
  <c r="E65" i="2"/>
  <c r="E66" i="2"/>
  <c r="E67" i="2"/>
  <c r="F68" i="2" s="1"/>
  <c r="E68" i="2"/>
  <c r="F69" i="2" s="1"/>
  <c r="E69" i="2"/>
  <c r="F70" i="2" s="1"/>
  <c r="E70" i="2"/>
  <c r="E71" i="2"/>
  <c r="F72" i="2" s="1"/>
  <c r="E72" i="2"/>
  <c r="E73" i="2"/>
  <c r="E74" i="2"/>
  <c r="F75" i="2" s="1"/>
  <c r="E75" i="2"/>
  <c r="F76" i="2" s="1"/>
  <c r="E76" i="2"/>
  <c r="F77" i="2" s="1"/>
  <c r="E77" i="2"/>
  <c r="E78" i="2"/>
  <c r="E79" i="2"/>
  <c r="F79" i="2" s="1"/>
  <c r="E80" i="2"/>
  <c r="E81" i="2"/>
  <c r="E82" i="2"/>
  <c r="E83" i="2"/>
  <c r="F84" i="2" s="1"/>
  <c r="E84" i="2"/>
  <c r="F85" i="2" s="1"/>
  <c r="E85" i="2"/>
  <c r="E86" i="2"/>
  <c r="E87" i="2"/>
  <c r="E88" i="2"/>
  <c r="F89" i="2" s="1"/>
  <c r="E89" i="2"/>
  <c r="E90" i="2"/>
  <c r="E91" i="2"/>
  <c r="E92" i="2"/>
  <c r="E93" i="2"/>
  <c r="F94" i="2" s="1"/>
  <c r="E94" i="2"/>
  <c r="F95" i="2" s="1"/>
  <c r="E95" i="2"/>
  <c r="F96" i="2" s="1"/>
  <c r="E96" i="2"/>
  <c r="E97" i="2"/>
  <c r="E98" i="2"/>
  <c r="F99" i="2" s="1"/>
  <c r="E99" i="2"/>
  <c r="F100" i="2" s="1"/>
  <c r="E100" i="2"/>
  <c r="E101" i="2"/>
  <c r="E85" i="3"/>
  <c r="E16" i="3"/>
  <c r="E37" i="3"/>
  <c r="F38" i="3" s="1"/>
  <c r="E14" i="3"/>
  <c r="E57" i="3"/>
  <c r="E71" i="3"/>
  <c r="E70" i="3"/>
  <c r="E36" i="3"/>
  <c r="E56" i="3"/>
  <c r="E21" i="3"/>
  <c r="E26" i="3"/>
  <c r="E31" i="3"/>
  <c r="E46" i="3"/>
  <c r="E47" i="3"/>
  <c r="E19" i="3"/>
  <c r="E43" i="3"/>
  <c r="F44" i="3" s="1"/>
  <c r="E27" i="3"/>
  <c r="E99" i="3"/>
  <c r="E81" i="3"/>
  <c r="F82" i="3" s="1"/>
  <c r="E20" i="3"/>
  <c r="E86" i="3"/>
  <c r="F87" i="3" s="1"/>
  <c r="E11" i="3"/>
  <c r="E96" i="3"/>
  <c r="E33" i="3"/>
  <c r="E68" i="3"/>
  <c r="E77" i="3"/>
  <c r="F78" i="3" s="1"/>
  <c r="E64" i="3"/>
  <c r="E69" i="3"/>
  <c r="F70" i="3" s="1"/>
  <c r="E8" i="3"/>
  <c r="F9" i="3" s="1"/>
  <c r="E52" i="3"/>
  <c r="E58" i="3"/>
  <c r="E35" i="3"/>
  <c r="E97" i="3"/>
  <c r="F98" i="3" s="1"/>
  <c r="E65" i="3"/>
  <c r="E76" i="3"/>
  <c r="F77" i="3" s="1"/>
  <c r="E60" i="3"/>
  <c r="F61" i="3" s="1"/>
  <c r="E79" i="3"/>
  <c r="F80" i="3" s="1"/>
  <c r="E83" i="3"/>
  <c r="E5" i="3"/>
  <c r="E93" i="3"/>
  <c r="E91" i="3"/>
  <c r="E7" i="3"/>
  <c r="E72" i="3"/>
  <c r="F73" i="3" s="1"/>
  <c r="E10" i="3"/>
  <c r="E90" i="3"/>
  <c r="E95" i="3"/>
  <c r="E80" i="3"/>
  <c r="E61" i="3"/>
  <c r="F62" i="3" s="1"/>
  <c r="E44" i="3"/>
  <c r="E94" i="3"/>
  <c r="F94" i="3" s="1"/>
  <c r="E82" i="3"/>
  <c r="E51" i="3"/>
  <c r="E41" i="3"/>
  <c r="E39" i="3"/>
  <c r="F40" i="3" s="1"/>
  <c r="E62" i="3"/>
  <c r="F63" i="3" s="1"/>
  <c r="E67" i="3"/>
  <c r="E48" i="3"/>
  <c r="E89" i="3"/>
  <c r="F90" i="3" s="1"/>
  <c r="E4" i="3"/>
  <c r="E63" i="3"/>
  <c r="E73" i="3"/>
  <c r="E2" i="3"/>
  <c r="F3" i="3" s="1"/>
  <c r="E38" i="3"/>
  <c r="E15" i="3"/>
  <c r="E24" i="3"/>
  <c r="E28" i="3"/>
  <c r="E88" i="3"/>
  <c r="E25" i="3"/>
  <c r="E54" i="3"/>
  <c r="E22" i="3"/>
  <c r="E12" i="3"/>
  <c r="E50" i="3"/>
  <c r="E84" i="3"/>
  <c r="E42" i="3"/>
  <c r="F43" i="3" s="1"/>
  <c r="E3" i="3"/>
  <c r="E49" i="3"/>
  <c r="E40" i="3"/>
  <c r="E59" i="3"/>
  <c r="E9" i="3"/>
  <c r="F10" i="3" s="1"/>
  <c r="E23" i="3"/>
  <c r="E100" i="3"/>
  <c r="F101" i="3" s="1"/>
  <c r="E87" i="3"/>
  <c r="E17" i="3"/>
  <c r="E98" i="3"/>
  <c r="E78" i="3"/>
  <c r="E92" i="3"/>
  <c r="E34" i="3"/>
  <c r="E45" i="3"/>
  <c r="E30" i="3"/>
  <c r="E13" i="3"/>
  <c r="E101" i="3"/>
  <c r="E6" i="3"/>
  <c r="E55" i="3"/>
  <c r="E32" i="3"/>
  <c r="E75" i="3"/>
  <c r="E18" i="3"/>
  <c r="E74" i="3"/>
  <c r="E29" i="3"/>
  <c r="E53" i="3"/>
  <c r="E66" i="3"/>
  <c r="E2" i="2"/>
  <c r="E2" i="4"/>
  <c r="F100" i="4"/>
  <c r="F101" i="4"/>
  <c r="F96" i="4"/>
  <c r="F95" i="4"/>
  <c r="F94" i="4"/>
  <c r="F87" i="4"/>
  <c r="F83" i="4"/>
  <c r="F82" i="4"/>
  <c r="F80" i="4"/>
  <c r="F79" i="4"/>
  <c r="F78" i="4"/>
  <c r="F77" i="4"/>
  <c r="F76" i="4"/>
  <c r="F75" i="4"/>
  <c r="F74" i="4"/>
  <c r="F69" i="4"/>
  <c r="F65" i="4"/>
  <c r="F64" i="4"/>
  <c r="F63" i="4"/>
  <c r="F62" i="4"/>
  <c r="F61" i="4"/>
  <c r="F60" i="4"/>
  <c r="F59" i="4"/>
  <c r="F56" i="4"/>
  <c r="F55" i="4"/>
  <c r="F53" i="4"/>
  <c r="F49" i="4"/>
  <c r="F48" i="4"/>
  <c r="F43" i="4"/>
  <c r="F37" i="4"/>
  <c r="F33" i="4"/>
  <c r="F32" i="4"/>
  <c r="F30" i="4"/>
  <c r="F27" i="4"/>
  <c r="F23" i="4"/>
  <c r="F22" i="4"/>
  <c r="F18" i="4"/>
  <c r="F17" i="4"/>
  <c r="F14" i="4"/>
  <c r="F5" i="4"/>
  <c r="F12" i="4"/>
  <c r="F9" i="4"/>
  <c r="F8" i="4"/>
  <c r="F7" i="4"/>
  <c r="F3" i="4"/>
  <c r="F103" i="4" s="1"/>
  <c r="E93" i="4"/>
  <c r="E33" i="4"/>
  <c r="E15" i="4"/>
  <c r="E13" i="4"/>
  <c r="E70" i="4"/>
  <c r="E7" i="4"/>
  <c r="E19" i="4"/>
  <c r="E78" i="4"/>
  <c r="E40" i="4"/>
  <c r="E62" i="4"/>
  <c r="E28" i="4"/>
  <c r="E55" i="4"/>
  <c r="E91" i="4"/>
  <c r="E54" i="4"/>
  <c r="E98" i="4"/>
  <c r="E11" i="4"/>
  <c r="E60" i="4"/>
  <c r="E6" i="4"/>
  <c r="E14" i="4"/>
  <c r="E58" i="4"/>
  <c r="E44" i="4"/>
  <c r="E83" i="4"/>
  <c r="E94" i="4"/>
  <c r="E12" i="4"/>
  <c r="E87" i="4"/>
  <c r="E49" i="4"/>
  <c r="E32" i="4"/>
  <c r="E10" i="4"/>
  <c r="E72" i="4"/>
  <c r="E18" i="4"/>
  <c r="E86" i="4"/>
  <c r="E42" i="4"/>
  <c r="E3" i="4"/>
  <c r="E22" i="4"/>
  <c r="E45" i="4"/>
  <c r="E16" i="4"/>
  <c r="E23" i="4"/>
  <c r="E48" i="4"/>
  <c r="E39" i="4"/>
  <c r="E57" i="4"/>
  <c r="E30" i="4"/>
  <c r="E51" i="4"/>
  <c r="E81" i="4"/>
  <c r="E26" i="4"/>
  <c r="E46" i="4"/>
  <c r="E97" i="4"/>
  <c r="E77" i="4"/>
  <c r="E74" i="4"/>
  <c r="E17" i="4"/>
  <c r="E82" i="4"/>
  <c r="E24" i="4"/>
  <c r="E71" i="4"/>
  <c r="E4" i="4"/>
  <c r="E9" i="4"/>
  <c r="E92" i="4"/>
  <c r="E88" i="4"/>
  <c r="E75" i="4"/>
  <c r="E38" i="4"/>
  <c r="E31" i="4"/>
  <c r="E84" i="4"/>
  <c r="E5" i="4"/>
  <c r="E27" i="4"/>
  <c r="E35" i="4"/>
  <c r="E36" i="4"/>
  <c r="E73" i="4"/>
  <c r="E29" i="4"/>
  <c r="E65" i="4"/>
  <c r="E68" i="4"/>
  <c r="E8" i="4"/>
  <c r="E64" i="4"/>
  <c r="E34" i="4"/>
  <c r="E85" i="4"/>
  <c r="E90" i="4"/>
  <c r="E66" i="4"/>
  <c r="E50" i="4"/>
  <c r="E56" i="4"/>
  <c r="E43" i="4"/>
  <c r="E47" i="4"/>
  <c r="E69" i="4"/>
  <c r="E99" i="4"/>
  <c r="E100" i="4"/>
  <c r="E20" i="4"/>
  <c r="E89" i="4"/>
  <c r="E41" i="4"/>
  <c r="E63" i="4"/>
  <c r="E101" i="4"/>
  <c r="E21" i="4"/>
  <c r="E80" i="4"/>
  <c r="E79" i="4"/>
  <c r="E76" i="4"/>
  <c r="E95" i="4"/>
  <c r="E96" i="4"/>
  <c r="E67" i="4"/>
  <c r="E52" i="4"/>
  <c r="E61" i="4"/>
  <c r="E59" i="4"/>
  <c r="E25" i="4"/>
  <c r="E53" i="4"/>
  <c r="E37" i="4"/>
  <c r="E2" i="5"/>
  <c r="F88" i="5"/>
  <c r="F86" i="5"/>
  <c r="F74" i="5"/>
  <c r="F50" i="5"/>
  <c r="F13" i="5"/>
  <c r="E98" i="5"/>
  <c r="E67" i="5"/>
  <c r="F68" i="5" s="1"/>
  <c r="E24" i="5"/>
  <c r="E55" i="5"/>
  <c r="E9" i="5"/>
  <c r="E41" i="5"/>
  <c r="F41" i="5" s="1"/>
  <c r="E99" i="5"/>
  <c r="F100" i="5" s="1"/>
  <c r="E92" i="5"/>
  <c r="F93" i="5" s="1"/>
  <c r="E18" i="5"/>
  <c r="E6" i="5"/>
  <c r="F7" i="5" s="1"/>
  <c r="E47" i="5"/>
  <c r="E77" i="5"/>
  <c r="F78" i="5" s="1"/>
  <c r="E91" i="5"/>
  <c r="E37" i="5"/>
  <c r="E101" i="5"/>
  <c r="E93" i="5"/>
  <c r="E11" i="5"/>
  <c r="F11" i="5" s="1"/>
  <c r="E73" i="5"/>
  <c r="E66" i="5"/>
  <c r="F67" i="5" s="1"/>
  <c r="E46" i="5"/>
  <c r="E68" i="5"/>
  <c r="F69" i="5" s="1"/>
  <c r="E84" i="5"/>
  <c r="E29" i="5"/>
  <c r="E57" i="5"/>
  <c r="F58" i="5" s="1"/>
  <c r="E72" i="5"/>
  <c r="E45" i="5"/>
  <c r="E85" i="5"/>
  <c r="E48" i="5"/>
  <c r="E34" i="5"/>
  <c r="F35" i="5" s="1"/>
  <c r="E62" i="5"/>
  <c r="E30" i="5"/>
  <c r="F31" i="5" s="1"/>
  <c r="E33" i="5"/>
  <c r="E71" i="5"/>
  <c r="E56" i="5"/>
  <c r="E49" i="5"/>
  <c r="E22" i="5"/>
  <c r="E23" i="5"/>
  <c r="F24" i="5" s="1"/>
  <c r="E4" i="5"/>
  <c r="F5" i="5" s="1"/>
  <c r="E10" i="5"/>
  <c r="E13" i="5"/>
  <c r="E26" i="5"/>
  <c r="E12" i="5"/>
  <c r="E51" i="5"/>
  <c r="E82" i="5"/>
  <c r="E76" i="5"/>
  <c r="E50" i="5"/>
  <c r="E86" i="5"/>
  <c r="E42" i="5"/>
  <c r="F43" i="5" s="1"/>
  <c r="E8" i="5"/>
  <c r="E15" i="5"/>
  <c r="E28" i="5"/>
  <c r="E94" i="5"/>
  <c r="E64" i="5"/>
  <c r="F65" i="5" s="1"/>
  <c r="E96" i="5"/>
  <c r="E7" i="5"/>
  <c r="E95" i="5"/>
  <c r="E54" i="5"/>
  <c r="E63" i="5"/>
  <c r="F64" i="5" s="1"/>
  <c r="E87" i="5"/>
  <c r="E5" i="5"/>
  <c r="E60" i="5"/>
  <c r="F61" i="5" s="1"/>
  <c r="E25" i="5"/>
  <c r="F26" i="5" s="1"/>
  <c r="E32" i="5"/>
  <c r="E14" i="5"/>
  <c r="F15" i="5" s="1"/>
  <c r="E20" i="5"/>
  <c r="E53" i="5"/>
  <c r="E43" i="5"/>
  <c r="E3" i="5"/>
  <c r="E69" i="5"/>
  <c r="E65" i="5"/>
  <c r="F66" i="5" s="1"/>
  <c r="E74" i="5"/>
  <c r="E97" i="5"/>
  <c r="E39" i="5"/>
  <c r="F39" i="5" s="1"/>
  <c r="E59" i="5"/>
  <c r="F59" i="5" s="1"/>
  <c r="E27" i="5"/>
  <c r="E35" i="5"/>
  <c r="E31" i="5"/>
  <c r="E52" i="5"/>
  <c r="F52" i="5" s="1"/>
  <c r="E58" i="5"/>
  <c r="E90" i="5"/>
  <c r="E36" i="5"/>
  <c r="E38" i="5"/>
  <c r="E88" i="5"/>
  <c r="E75" i="5"/>
  <c r="F76" i="5" s="1"/>
  <c r="E81" i="5"/>
  <c r="E21" i="5"/>
  <c r="E89" i="5"/>
  <c r="E100" i="5"/>
  <c r="E80" i="5"/>
  <c r="E44" i="5"/>
  <c r="F45" i="5" s="1"/>
  <c r="E40" i="5"/>
  <c r="E19" i="5"/>
  <c r="F20" i="5" s="1"/>
  <c r="E61" i="5"/>
  <c r="E70" i="5"/>
  <c r="F71" i="5" s="1"/>
  <c r="E79" i="5"/>
  <c r="E17" i="5"/>
  <c r="F18" i="5" s="1"/>
  <c r="E78" i="5"/>
  <c r="E83" i="5"/>
  <c r="F84" i="5" s="1"/>
  <c r="E16" i="5"/>
  <c r="F103" i="2" l="1"/>
  <c r="F103" i="3"/>
  <c r="F102" i="5"/>
</calcChain>
</file>

<file path=xl/sharedStrings.xml><?xml version="1.0" encoding="utf-8"?>
<sst xmlns="http://schemas.openxmlformats.org/spreadsheetml/2006/main" count="428" uniqueCount="10">
  <si>
    <t>reward_today</t>
  </si>
  <si>
    <t>future_reward</t>
  </si>
  <si>
    <t>delay</t>
  </si>
  <si>
    <t>trials.key_resp.keys</t>
  </si>
  <si>
    <t>t</t>
  </si>
  <si>
    <t>l</t>
  </si>
  <si>
    <t>k</t>
  </si>
  <si>
    <t>av-geom</t>
  </si>
  <si>
    <t>geomean</t>
  </si>
  <si>
    <t>avg-geom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</si>
</sst>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selection activeCell="J9" sqref="J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</row>
    <row r="2" spans="1:6" x14ac:dyDescent="0.35">
      <c r="A2">
        <v>16</v>
      </c>
      <c r="B2">
        <v>18</v>
      </c>
      <c r="C2">
        <v>29</v>
      </c>
      <c r="D2" t="s">
        <v>4</v>
      </c>
      <c r="E2">
        <f>((B2/A2)-1)/C2</f>
        <v>4.3103448275862068E-3</v>
      </c>
    </row>
    <row r="3" spans="1:6" x14ac:dyDescent="0.35">
      <c r="A3">
        <v>5</v>
      </c>
      <c r="B3">
        <v>15</v>
      </c>
      <c r="C3">
        <v>59</v>
      </c>
      <c r="D3" t="s">
        <v>4</v>
      </c>
      <c r="E3">
        <f t="shared" ref="E3:E66" si="0">((B3/A3)-1)/C3</f>
        <v>3.3898305084745763E-2</v>
      </c>
    </row>
    <row r="4" spans="1:6" x14ac:dyDescent="0.35">
      <c r="A4">
        <v>20</v>
      </c>
      <c r="B4">
        <v>29</v>
      </c>
      <c r="C4">
        <v>22</v>
      </c>
      <c r="D4" t="s">
        <v>4</v>
      </c>
      <c r="E4">
        <f t="shared" si="0"/>
        <v>2.0454545454545451E-2</v>
      </c>
    </row>
    <row r="5" spans="1:6" x14ac:dyDescent="0.35">
      <c r="A5">
        <v>30</v>
      </c>
      <c r="B5">
        <v>54</v>
      </c>
      <c r="C5">
        <v>57</v>
      </c>
      <c r="D5" t="s">
        <v>5</v>
      </c>
      <c r="E5">
        <f t="shared" si="0"/>
        <v>1.4035087719298246E-2</v>
      </c>
      <c r="F5">
        <f>GEOMEAN(E4:E5)</f>
        <v>1.6943474841747151E-2</v>
      </c>
    </row>
    <row r="6" spans="1:6" x14ac:dyDescent="0.35">
      <c r="A6">
        <v>22</v>
      </c>
      <c r="B6">
        <v>47</v>
      </c>
      <c r="C6">
        <v>13</v>
      </c>
      <c r="D6" t="s">
        <v>5</v>
      </c>
      <c r="E6">
        <f t="shared" si="0"/>
        <v>8.7412587412587409E-2</v>
      </c>
    </row>
    <row r="7" spans="1:6" x14ac:dyDescent="0.35">
      <c r="A7">
        <v>7</v>
      </c>
      <c r="B7">
        <v>12</v>
      </c>
      <c r="C7">
        <v>26</v>
      </c>
      <c r="D7" t="s">
        <v>4</v>
      </c>
      <c r="E7">
        <f t="shared" si="0"/>
        <v>2.7472527472527469E-2</v>
      </c>
      <c r="F7">
        <f>GEOMEAN(E6:E7)</f>
        <v>4.9004537638233224E-2</v>
      </c>
    </row>
    <row r="8" spans="1:6" x14ac:dyDescent="0.35">
      <c r="A8">
        <v>7</v>
      </c>
      <c r="B8">
        <v>16</v>
      </c>
      <c r="C8">
        <v>43</v>
      </c>
      <c r="D8" t="s">
        <v>4</v>
      </c>
      <c r="E8">
        <f t="shared" si="0"/>
        <v>2.9900332225913619E-2</v>
      </c>
    </row>
    <row r="9" spans="1:6" x14ac:dyDescent="0.35">
      <c r="A9">
        <v>14</v>
      </c>
      <c r="B9">
        <v>31</v>
      </c>
      <c r="C9">
        <v>77</v>
      </c>
      <c r="D9" t="s">
        <v>5</v>
      </c>
      <c r="E9">
        <f t="shared" si="0"/>
        <v>1.5769944341372914E-2</v>
      </c>
      <c r="F9">
        <f>GEOMEAN(E8:E9)</f>
        <v>2.1714662672747569E-2</v>
      </c>
    </row>
    <row r="10" spans="1:6" x14ac:dyDescent="0.35">
      <c r="A10">
        <v>10</v>
      </c>
      <c r="B10">
        <v>30</v>
      </c>
      <c r="C10">
        <v>66</v>
      </c>
      <c r="D10" t="s">
        <v>4</v>
      </c>
      <c r="E10">
        <f t="shared" si="0"/>
        <v>3.0303030303030304E-2</v>
      </c>
      <c r="F10">
        <f>GEOMEAN(E9:E10)</f>
        <v>2.1860400299485019E-2</v>
      </c>
    </row>
    <row r="11" spans="1:6" x14ac:dyDescent="0.35">
      <c r="A11">
        <v>24</v>
      </c>
      <c r="B11">
        <v>28</v>
      </c>
      <c r="C11">
        <v>15</v>
      </c>
      <c r="D11" t="s">
        <v>4</v>
      </c>
      <c r="E11">
        <f t="shared" si="0"/>
        <v>1.1111111111111117E-2</v>
      </c>
    </row>
    <row r="12" spans="1:6" x14ac:dyDescent="0.35">
      <c r="A12">
        <v>21</v>
      </c>
      <c r="B12">
        <v>25</v>
      </c>
      <c r="C12">
        <v>58</v>
      </c>
      <c r="D12" t="s">
        <v>4</v>
      </c>
      <c r="E12">
        <f t="shared" si="0"/>
        <v>3.2840722495894909E-3</v>
      </c>
    </row>
    <row r="13" spans="1:6" x14ac:dyDescent="0.35">
      <c r="A13">
        <v>17</v>
      </c>
      <c r="B13">
        <v>37</v>
      </c>
      <c r="C13">
        <v>60</v>
      </c>
      <c r="D13" t="s">
        <v>5</v>
      </c>
      <c r="E13">
        <f t="shared" si="0"/>
        <v>1.9607843137254898E-2</v>
      </c>
      <c r="F13">
        <f>GEOMEAN(E12:E13)</f>
        <v>8.0245606435095599E-3</v>
      </c>
    </row>
    <row r="14" spans="1:6" x14ac:dyDescent="0.35">
      <c r="A14">
        <v>22</v>
      </c>
      <c r="B14">
        <v>34</v>
      </c>
      <c r="C14">
        <v>80</v>
      </c>
      <c r="D14" t="s">
        <v>4</v>
      </c>
      <c r="E14">
        <f t="shared" si="0"/>
        <v>6.8181818181818179E-3</v>
      </c>
    </row>
    <row r="15" spans="1:6" x14ac:dyDescent="0.35">
      <c r="A15">
        <v>5</v>
      </c>
      <c r="B15">
        <v>10</v>
      </c>
      <c r="C15">
        <v>48</v>
      </c>
      <c r="D15" t="s">
        <v>4</v>
      </c>
      <c r="E15">
        <f t="shared" si="0"/>
        <v>2.0833333333333332E-2</v>
      </c>
    </row>
    <row r="16" spans="1:6" x14ac:dyDescent="0.35">
      <c r="A16">
        <v>12</v>
      </c>
      <c r="B16">
        <v>23</v>
      </c>
      <c r="C16">
        <v>82</v>
      </c>
      <c r="D16" t="s">
        <v>4</v>
      </c>
      <c r="E16">
        <f t="shared" si="0"/>
        <v>1.1178861788617886E-2</v>
      </c>
    </row>
    <row r="17" spans="1:6" x14ac:dyDescent="0.35">
      <c r="A17">
        <v>10</v>
      </c>
      <c r="B17">
        <v>11</v>
      </c>
      <c r="C17">
        <v>46</v>
      </c>
      <c r="D17" t="s">
        <v>4</v>
      </c>
      <c r="E17">
        <f t="shared" si="0"/>
        <v>2.1739130434782626E-3</v>
      </c>
    </row>
    <row r="18" spans="1:6" x14ac:dyDescent="0.35">
      <c r="A18">
        <v>22</v>
      </c>
      <c r="B18">
        <v>30</v>
      </c>
      <c r="C18">
        <v>39</v>
      </c>
      <c r="D18" t="s">
        <v>5</v>
      </c>
      <c r="E18">
        <f t="shared" si="0"/>
        <v>9.3240093240093223E-3</v>
      </c>
      <c r="F18">
        <f>GEOMEAN(E17:E18)</f>
        <v>4.5021756392856112E-3</v>
      </c>
    </row>
    <row r="19" spans="1:6" x14ac:dyDescent="0.35">
      <c r="A19">
        <v>24</v>
      </c>
      <c r="B19">
        <v>33</v>
      </c>
      <c r="C19">
        <v>17</v>
      </c>
      <c r="D19" t="s">
        <v>5</v>
      </c>
      <c r="E19">
        <f t="shared" si="0"/>
        <v>2.2058823529411766E-2</v>
      </c>
    </row>
    <row r="20" spans="1:6" x14ac:dyDescent="0.35">
      <c r="A20">
        <v>9</v>
      </c>
      <c r="B20">
        <v>27</v>
      </c>
      <c r="C20">
        <v>8</v>
      </c>
      <c r="D20" t="s">
        <v>5</v>
      </c>
      <c r="E20">
        <f t="shared" si="0"/>
        <v>0.25</v>
      </c>
    </row>
    <row r="21" spans="1:6" x14ac:dyDescent="0.35">
      <c r="A21">
        <v>29</v>
      </c>
      <c r="B21">
        <v>40</v>
      </c>
      <c r="C21">
        <v>71</v>
      </c>
      <c r="D21" t="s">
        <v>5</v>
      </c>
      <c r="E21">
        <f t="shared" si="0"/>
        <v>5.3423992229237509E-3</v>
      </c>
    </row>
    <row r="22" spans="1:6" x14ac:dyDescent="0.35">
      <c r="A22">
        <v>14</v>
      </c>
      <c r="B22">
        <v>17</v>
      </c>
      <c r="C22">
        <v>43</v>
      </c>
      <c r="D22" t="s">
        <v>4</v>
      </c>
      <c r="E22">
        <f t="shared" si="0"/>
        <v>4.9833887043189348E-3</v>
      </c>
      <c r="F22">
        <f>GEOMEAN(E21:E22)</f>
        <v>5.1597724699331922E-3</v>
      </c>
    </row>
    <row r="23" spans="1:6" x14ac:dyDescent="0.35">
      <c r="A23">
        <v>7</v>
      </c>
      <c r="B23">
        <v>20</v>
      </c>
      <c r="C23">
        <v>30</v>
      </c>
      <c r="D23" t="s">
        <v>5</v>
      </c>
      <c r="E23">
        <f t="shared" si="0"/>
        <v>6.1904761904761907E-2</v>
      </c>
    </row>
    <row r="24" spans="1:6" x14ac:dyDescent="0.35">
      <c r="A24">
        <v>12</v>
      </c>
      <c r="B24">
        <v>33</v>
      </c>
      <c r="C24">
        <v>1</v>
      </c>
      <c r="D24" t="s">
        <v>5</v>
      </c>
      <c r="E24">
        <f t="shared" si="0"/>
        <v>1.75</v>
      </c>
    </row>
    <row r="25" spans="1:6" x14ac:dyDescent="0.35">
      <c r="A25">
        <v>22</v>
      </c>
      <c r="B25">
        <v>24</v>
      </c>
      <c r="C25">
        <v>1</v>
      </c>
      <c r="D25" t="s">
        <v>4</v>
      </c>
      <c r="E25">
        <f t="shared" si="0"/>
        <v>9.0909090909090828E-2</v>
      </c>
      <c r="F25">
        <f>GEOMEAN(E24:E25)</f>
        <v>0.39886201760873263</v>
      </c>
    </row>
    <row r="26" spans="1:6" x14ac:dyDescent="0.35">
      <c r="A26">
        <v>23</v>
      </c>
      <c r="B26">
        <v>25</v>
      </c>
      <c r="C26">
        <v>61</v>
      </c>
      <c r="D26" t="s">
        <v>5</v>
      </c>
      <c r="E26">
        <f t="shared" si="0"/>
        <v>1.4255167498218094E-3</v>
      </c>
    </row>
    <row r="27" spans="1:6" x14ac:dyDescent="0.35">
      <c r="A27">
        <v>27</v>
      </c>
      <c r="B27">
        <v>34</v>
      </c>
      <c r="C27">
        <v>32</v>
      </c>
      <c r="D27" t="s">
        <v>4</v>
      </c>
      <c r="E27">
        <f t="shared" si="0"/>
        <v>8.1018518518518531E-3</v>
      </c>
      <c r="F27">
        <f>GEOMEAN(E26:E27)</f>
        <v>3.3984298608901232E-3</v>
      </c>
    </row>
    <row r="28" spans="1:6" x14ac:dyDescent="0.35">
      <c r="A28">
        <v>3</v>
      </c>
      <c r="B28">
        <v>9</v>
      </c>
      <c r="C28">
        <v>38</v>
      </c>
      <c r="D28" t="s">
        <v>4</v>
      </c>
      <c r="E28">
        <f t="shared" si="0"/>
        <v>5.2631578947368418E-2</v>
      </c>
    </row>
    <row r="29" spans="1:6" x14ac:dyDescent="0.35">
      <c r="A29">
        <v>10</v>
      </c>
      <c r="B29">
        <v>30</v>
      </c>
      <c r="C29">
        <v>6</v>
      </c>
      <c r="D29" t="s">
        <v>5</v>
      </c>
      <c r="E29">
        <f t="shared" si="0"/>
        <v>0.33333333333333331</v>
      </c>
      <c r="F29">
        <f>GEOMEAN(E28:E29)</f>
        <v>0.13245323570650439</v>
      </c>
    </row>
    <row r="30" spans="1:6" x14ac:dyDescent="0.35">
      <c r="A30">
        <v>8</v>
      </c>
      <c r="B30">
        <v>24</v>
      </c>
      <c r="C30">
        <v>5</v>
      </c>
      <c r="D30" t="s">
        <v>5</v>
      </c>
      <c r="E30">
        <f t="shared" si="0"/>
        <v>0.4</v>
      </c>
    </row>
    <row r="31" spans="1:6" x14ac:dyDescent="0.35">
      <c r="A31">
        <v>18</v>
      </c>
      <c r="B31">
        <v>34</v>
      </c>
      <c r="C31">
        <v>26</v>
      </c>
      <c r="D31" t="s">
        <v>4</v>
      </c>
      <c r="E31">
        <f t="shared" si="0"/>
        <v>3.4188034188034185E-2</v>
      </c>
      <c r="F31">
        <f>GEOMEAN(E30:E31)</f>
        <v>0.11694106924093722</v>
      </c>
    </row>
    <row r="32" spans="1:6" x14ac:dyDescent="0.35">
      <c r="A32">
        <v>22</v>
      </c>
      <c r="B32">
        <v>33</v>
      </c>
      <c r="C32">
        <v>20</v>
      </c>
      <c r="D32" t="s">
        <v>5</v>
      </c>
      <c r="E32">
        <f t="shared" si="0"/>
        <v>2.5000000000000001E-2</v>
      </c>
    </row>
    <row r="33" spans="1:6" x14ac:dyDescent="0.35">
      <c r="A33">
        <v>27</v>
      </c>
      <c r="B33">
        <v>44</v>
      </c>
      <c r="C33">
        <v>14</v>
      </c>
      <c r="D33" t="s">
        <v>5</v>
      </c>
      <c r="E33">
        <f t="shared" si="0"/>
        <v>4.4973544973544964E-2</v>
      </c>
    </row>
    <row r="34" spans="1:6" x14ac:dyDescent="0.35">
      <c r="A34">
        <v>11</v>
      </c>
      <c r="B34">
        <v>26</v>
      </c>
      <c r="C34">
        <v>77</v>
      </c>
      <c r="D34" t="s">
        <v>5</v>
      </c>
      <c r="E34">
        <f t="shared" si="0"/>
        <v>1.770956316410862E-2</v>
      </c>
    </row>
    <row r="35" spans="1:6" x14ac:dyDescent="0.35">
      <c r="A35">
        <v>30</v>
      </c>
      <c r="B35">
        <v>55</v>
      </c>
      <c r="C35">
        <v>9</v>
      </c>
      <c r="D35" t="s">
        <v>5</v>
      </c>
      <c r="E35">
        <f t="shared" si="0"/>
        <v>9.2592592592592587E-2</v>
      </c>
    </row>
    <row r="36" spans="1:6" x14ac:dyDescent="0.35">
      <c r="A36">
        <v>21</v>
      </c>
      <c r="B36">
        <v>44</v>
      </c>
      <c r="C36">
        <v>4</v>
      </c>
      <c r="D36" t="s">
        <v>5</v>
      </c>
      <c r="E36">
        <f t="shared" si="0"/>
        <v>0.27380952380952384</v>
      </c>
    </row>
    <row r="37" spans="1:6" x14ac:dyDescent="0.35">
      <c r="A37">
        <v>17</v>
      </c>
      <c r="B37">
        <v>42</v>
      </c>
      <c r="C37">
        <v>84</v>
      </c>
      <c r="D37" t="s">
        <v>5</v>
      </c>
      <c r="E37">
        <f t="shared" si="0"/>
        <v>1.7507002801120448E-2</v>
      </c>
    </row>
    <row r="38" spans="1:6" x14ac:dyDescent="0.35">
      <c r="A38">
        <v>14</v>
      </c>
      <c r="B38">
        <v>22</v>
      </c>
      <c r="C38">
        <v>47</v>
      </c>
      <c r="D38" t="s">
        <v>4</v>
      </c>
      <c r="E38">
        <f t="shared" si="0"/>
        <v>1.2158054711246201E-2</v>
      </c>
      <c r="F38">
        <f>GEOMEAN(E37:E38)</f>
        <v>1.4589417325101195E-2</v>
      </c>
    </row>
    <row r="39" spans="1:6" x14ac:dyDescent="0.35">
      <c r="A39">
        <v>27</v>
      </c>
      <c r="B39">
        <v>47</v>
      </c>
      <c r="C39">
        <v>37</v>
      </c>
      <c r="D39" t="s">
        <v>5</v>
      </c>
      <c r="E39">
        <f t="shared" si="0"/>
        <v>2.002002002002002E-2</v>
      </c>
    </row>
    <row r="40" spans="1:6" x14ac:dyDescent="0.35">
      <c r="A40">
        <v>7</v>
      </c>
      <c r="B40">
        <v>21</v>
      </c>
      <c r="C40">
        <v>81</v>
      </c>
      <c r="D40" t="s">
        <v>4</v>
      </c>
      <c r="E40">
        <f t="shared" si="0"/>
        <v>2.4691358024691357E-2</v>
      </c>
      <c r="F40">
        <f>GEOMEAN(E39:E40)</f>
        <v>2.2233341673617193E-2</v>
      </c>
    </row>
    <row r="41" spans="1:6" x14ac:dyDescent="0.35">
      <c r="A41">
        <v>8</v>
      </c>
      <c r="B41">
        <v>24</v>
      </c>
      <c r="C41">
        <v>49</v>
      </c>
      <c r="D41" t="s">
        <v>5</v>
      </c>
      <c r="E41">
        <f t="shared" si="0"/>
        <v>4.0816326530612242E-2</v>
      </c>
      <c r="F41">
        <f>GEOMEAN(E40:E41)</f>
        <v>3.1746031746031744E-2</v>
      </c>
    </row>
    <row r="42" spans="1:6" x14ac:dyDescent="0.35">
      <c r="A42">
        <v>6</v>
      </c>
      <c r="B42">
        <v>18</v>
      </c>
      <c r="C42">
        <v>12</v>
      </c>
      <c r="D42" t="s">
        <v>5</v>
      </c>
      <c r="E42">
        <f t="shared" si="0"/>
        <v>0.16666666666666666</v>
      </c>
    </row>
    <row r="43" spans="1:6" x14ac:dyDescent="0.35">
      <c r="A43">
        <v>6</v>
      </c>
      <c r="B43">
        <v>18</v>
      </c>
      <c r="C43">
        <v>45</v>
      </c>
      <c r="D43" t="s">
        <v>5</v>
      </c>
      <c r="E43">
        <f t="shared" si="0"/>
        <v>4.4444444444444446E-2</v>
      </c>
    </row>
    <row r="44" spans="1:6" x14ac:dyDescent="0.35">
      <c r="A44">
        <v>20</v>
      </c>
      <c r="B44">
        <v>32</v>
      </c>
      <c r="C44">
        <v>86</v>
      </c>
      <c r="D44" t="s">
        <v>4</v>
      </c>
      <c r="E44">
        <f t="shared" si="0"/>
        <v>6.9767441860465124E-3</v>
      </c>
      <c r="F44">
        <f>GEOMEAN(E43:E44)</f>
        <v>1.7609018126512478E-2</v>
      </c>
    </row>
    <row r="45" spans="1:6" x14ac:dyDescent="0.35">
      <c r="A45">
        <v>27</v>
      </c>
      <c r="B45">
        <v>51</v>
      </c>
      <c r="C45">
        <v>90</v>
      </c>
      <c r="D45" t="s">
        <v>4</v>
      </c>
      <c r="E45">
        <f t="shared" si="0"/>
        <v>9.876543209876543E-3</v>
      </c>
    </row>
    <row r="46" spans="1:6" x14ac:dyDescent="0.35">
      <c r="A46">
        <v>7</v>
      </c>
      <c r="B46">
        <v>11</v>
      </c>
      <c r="C46">
        <v>64</v>
      </c>
      <c r="D46" t="s">
        <v>4</v>
      </c>
      <c r="E46">
        <f t="shared" si="0"/>
        <v>8.9285714285714281E-3</v>
      </c>
    </row>
    <row r="47" spans="1:6" x14ac:dyDescent="0.35">
      <c r="A47">
        <v>26</v>
      </c>
      <c r="B47">
        <v>49</v>
      </c>
      <c r="C47">
        <v>46</v>
      </c>
      <c r="D47" t="s">
        <v>5</v>
      </c>
      <c r="E47">
        <f t="shared" si="0"/>
        <v>1.9230769230769228E-2</v>
      </c>
      <c r="F47">
        <f>GEOMEAN(E46:E47)</f>
        <v>1.3103560459023977E-2</v>
      </c>
    </row>
    <row r="48" spans="1:6" x14ac:dyDescent="0.35">
      <c r="A48">
        <v>19</v>
      </c>
      <c r="B48">
        <v>33</v>
      </c>
      <c r="C48">
        <v>46</v>
      </c>
      <c r="D48" t="s">
        <v>5</v>
      </c>
      <c r="E48">
        <f t="shared" si="0"/>
        <v>1.6018306636155607E-2</v>
      </c>
    </row>
    <row r="49" spans="1:6" x14ac:dyDescent="0.35">
      <c r="A49">
        <v>23</v>
      </c>
      <c r="B49">
        <v>31</v>
      </c>
      <c r="C49">
        <v>78</v>
      </c>
      <c r="D49" t="s">
        <v>4</v>
      </c>
      <c r="E49">
        <f t="shared" si="0"/>
        <v>4.459308807134894E-3</v>
      </c>
      <c r="F49">
        <f>GEOMEAN(E48:E49)</f>
        <v>8.4516611300972082E-3</v>
      </c>
    </row>
    <row r="50" spans="1:6" x14ac:dyDescent="0.35">
      <c r="A50">
        <v>11</v>
      </c>
      <c r="B50">
        <v>28</v>
      </c>
      <c r="C50">
        <v>73</v>
      </c>
      <c r="D50" t="s">
        <v>5</v>
      </c>
      <c r="E50">
        <f t="shared" si="0"/>
        <v>2.11706102117061E-2</v>
      </c>
    </row>
    <row r="51" spans="1:6" x14ac:dyDescent="0.35">
      <c r="A51">
        <v>9</v>
      </c>
      <c r="B51">
        <v>14</v>
      </c>
      <c r="C51">
        <v>88</v>
      </c>
      <c r="D51" t="s">
        <v>4</v>
      </c>
      <c r="E51">
        <f t="shared" si="0"/>
        <v>6.313131313131313E-3</v>
      </c>
    </row>
    <row r="52" spans="1:6" x14ac:dyDescent="0.35">
      <c r="A52">
        <v>14</v>
      </c>
      <c r="B52">
        <v>28</v>
      </c>
      <c r="C52">
        <v>7</v>
      </c>
      <c r="D52" t="s">
        <v>5</v>
      </c>
      <c r="E52">
        <f t="shared" si="0"/>
        <v>0.14285714285714285</v>
      </c>
      <c r="F52">
        <f>GEOMEAN(E51:E52)</f>
        <v>3.0031248756518629E-2</v>
      </c>
    </row>
    <row r="53" spans="1:6" x14ac:dyDescent="0.35">
      <c r="A53">
        <v>6</v>
      </c>
      <c r="B53">
        <v>18</v>
      </c>
      <c r="C53">
        <v>31</v>
      </c>
      <c r="D53" t="s">
        <v>5</v>
      </c>
      <c r="E53">
        <f t="shared" si="0"/>
        <v>6.4516129032258063E-2</v>
      </c>
    </row>
    <row r="54" spans="1:6" x14ac:dyDescent="0.35">
      <c r="A54">
        <v>24</v>
      </c>
      <c r="B54">
        <v>40</v>
      </c>
      <c r="C54">
        <v>52</v>
      </c>
      <c r="D54" t="s">
        <v>5</v>
      </c>
      <c r="E54">
        <f t="shared" si="0"/>
        <v>1.2820512820512822E-2</v>
      </c>
    </row>
    <row r="55" spans="1:6" x14ac:dyDescent="0.35">
      <c r="A55">
        <v>24</v>
      </c>
      <c r="B55">
        <v>25</v>
      </c>
      <c r="C55">
        <v>39</v>
      </c>
      <c r="D55" t="s">
        <v>4</v>
      </c>
      <c r="E55">
        <f t="shared" si="0"/>
        <v>1.0683760683760702E-3</v>
      </c>
      <c r="F55">
        <f>GEOMEAN(E54:E55)</f>
        <v>3.7009632640360658E-3</v>
      </c>
    </row>
    <row r="56" spans="1:6" x14ac:dyDescent="0.35">
      <c r="A56">
        <v>3</v>
      </c>
      <c r="B56">
        <v>8</v>
      </c>
      <c r="C56">
        <v>76</v>
      </c>
      <c r="D56" t="s">
        <v>4</v>
      </c>
      <c r="E56">
        <f t="shared" si="0"/>
        <v>2.1929824561403508E-2</v>
      </c>
    </row>
    <row r="57" spans="1:6" x14ac:dyDescent="0.35">
      <c r="A57">
        <v>6</v>
      </c>
      <c r="B57">
        <v>8</v>
      </c>
      <c r="C57">
        <v>28</v>
      </c>
      <c r="D57" t="s">
        <v>4</v>
      </c>
      <c r="E57">
        <f t="shared" si="0"/>
        <v>1.1904761904761902E-2</v>
      </c>
    </row>
    <row r="58" spans="1:6" x14ac:dyDescent="0.35">
      <c r="A58">
        <v>8</v>
      </c>
      <c r="B58">
        <v>19</v>
      </c>
      <c r="C58">
        <v>25</v>
      </c>
      <c r="D58" t="s">
        <v>4</v>
      </c>
      <c r="E58">
        <f t="shared" si="0"/>
        <v>5.5E-2</v>
      </c>
    </row>
    <row r="59" spans="1:6" x14ac:dyDescent="0.35">
      <c r="A59">
        <v>30</v>
      </c>
      <c r="B59">
        <v>52</v>
      </c>
      <c r="C59">
        <v>51</v>
      </c>
      <c r="D59" t="s">
        <v>5</v>
      </c>
      <c r="E59">
        <f t="shared" si="0"/>
        <v>1.4379084967320262E-2</v>
      </c>
      <c r="F59">
        <f>GEOMEAN(E58:E59)</f>
        <v>2.8122049591070251E-2</v>
      </c>
    </row>
    <row r="60" spans="1:6" x14ac:dyDescent="0.35">
      <c r="A60">
        <v>16</v>
      </c>
      <c r="B60">
        <v>27</v>
      </c>
      <c r="C60">
        <v>78</v>
      </c>
      <c r="D60" t="s">
        <v>4</v>
      </c>
      <c r="E60">
        <f t="shared" si="0"/>
        <v>8.814102564102564E-3</v>
      </c>
      <c r="F60">
        <f>GEOMEAN(E59:E60)</f>
        <v>1.1257829705582962E-2</v>
      </c>
    </row>
    <row r="61" spans="1:6" x14ac:dyDescent="0.35">
      <c r="A61">
        <v>14</v>
      </c>
      <c r="B61">
        <v>31</v>
      </c>
      <c r="C61">
        <v>23</v>
      </c>
      <c r="D61" t="s">
        <v>5</v>
      </c>
      <c r="E61">
        <f t="shared" si="0"/>
        <v>5.2795031055900624E-2</v>
      </c>
    </row>
    <row r="62" spans="1:6" x14ac:dyDescent="0.35">
      <c r="A62">
        <v>26</v>
      </c>
      <c r="B62">
        <v>49</v>
      </c>
      <c r="C62">
        <v>70</v>
      </c>
      <c r="D62" t="s">
        <v>5</v>
      </c>
      <c r="E62">
        <f t="shared" si="0"/>
        <v>1.2637362637362638E-2</v>
      </c>
    </row>
    <row r="63" spans="1:6" x14ac:dyDescent="0.35">
      <c r="A63">
        <v>19</v>
      </c>
      <c r="B63">
        <v>32</v>
      </c>
      <c r="C63">
        <v>82</v>
      </c>
      <c r="D63" t="s">
        <v>5</v>
      </c>
      <c r="E63">
        <f t="shared" si="0"/>
        <v>8.344030808729138E-3</v>
      </c>
    </row>
    <row r="64" spans="1:6" x14ac:dyDescent="0.35">
      <c r="A64">
        <v>12</v>
      </c>
      <c r="B64">
        <v>34</v>
      </c>
      <c r="C64">
        <v>30</v>
      </c>
      <c r="D64" t="s">
        <v>5</v>
      </c>
      <c r="E64">
        <f t="shared" si="0"/>
        <v>6.1111111111111116E-2</v>
      </c>
    </row>
    <row r="65" spans="1:6" x14ac:dyDescent="0.35">
      <c r="A65">
        <v>15</v>
      </c>
      <c r="B65">
        <v>19</v>
      </c>
      <c r="C65">
        <v>83</v>
      </c>
      <c r="D65" t="s">
        <v>4</v>
      </c>
      <c r="E65">
        <f t="shared" si="0"/>
        <v>3.2128514056224892E-3</v>
      </c>
      <c r="F65">
        <f>GEOMEAN(E64:E65)</f>
        <v>1.4012170396925861E-2</v>
      </c>
    </row>
    <row r="66" spans="1:6" x14ac:dyDescent="0.35">
      <c r="A66">
        <v>24</v>
      </c>
      <c r="B66">
        <v>26</v>
      </c>
      <c r="C66">
        <v>68</v>
      </c>
      <c r="D66" t="s">
        <v>4</v>
      </c>
      <c r="E66">
        <f t="shared" si="0"/>
        <v>1.2254901960784303E-3</v>
      </c>
    </row>
    <row r="67" spans="1:6" x14ac:dyDescent="0.35">
      <c r="A67">
        <v>10</v>
      </c>
      <c r="B67">
        <v>12</v>
      </c>
      <c r="C67">
        <v>55</v>
      </c>
      <c r="D67" t="s">
        <v>4</v>
      </c>
      <c r="E67">
        <f t="shared" ref="E67:E101" si="1">((B67/A67)-1)/C67</f>
        <v>3.6363636363636355E-3</v>
      </c>
    </row>
    <row r="68" spans="1:6" x14ac:dyDescent="0.35">
      <c r="A68">
        <v>26</v>
      </c>
      <c r="B68">
        <v>47</v>
      </c>
      <c r="C68">
        <v>63</v>
      </c>
      <c r="D68" t="s">
        <v>5</v>
      </c>
      <c r="E68">
        <f t="shared" si="1"/>
        <v>1.282051282051282E-2</v>
      </c>
      <c r="F68">
        <f>GEOMEAN(E67:E68)</f>
        <v>6.8278874199891879E-3</v>
      </c>
    </row>
    <row r="69" spans="1:6" x14ac:dyDescent="0.35">
      <c r="A69">
        <v>20</v>
      </c>
      <c r="B69">
        <v>23</v>
      </c>
      <c r="C69">
        <v>62</v>
      </c>
      <c r="D69" t="s">
        <v>4</v>
      </c>
      <c r="E69">
        <f t="shared" si="1"/>
        <v>2.4193548387096758E-3</v>
      </c>
      <c r="F69">
        <f>GEOMEAN(E68:E69)</f>
        <v>5.5693239919264101E-3</v>
      </c>
    </row>
    <row r="70" spans="1:6" x14ac:dyDescent="0.35">
      <c r="A70">
        <v>10</v>
      </c>
      <c r="B70">
        <v>30</v>
      </c>
      <c r="C70">
        <v>21</v>
      </c>
      <c r="D70" t="s">
        <v>5</v>
      </c>
      <c r="E70">
        <f t="shared" si="1"/>
        <v>9.5238095238095233E-2</v>
      </c>
      <c r="F70">
        <f>GEOMEAN(E69:E70)</f>
        <v>1.5179418517972901E-2</v>
      </c>
    </row>
    <row r="71" spans="1:6" x14ac:dyDescent="0.35">
      <c r="A71">
        <v>10</v>
      </c>
      <c r="B71">
        <v>30</v>
      </c>
      <c r="C71">
        <v>19</v>
      </c>
      <c r="D71" t="s">
        <v>5</v>
      </c>
      <c r="E71">
        <f t="shared" si="1"/>
        <v>0.10526315789473684</v>
      </c>
    </row>
    <row r="72" spans="1:6" x14ac:dyDescent="0.35">
      <c r="A72">
        <v>6</v>
      </c>
      <c r="B72">
        <v>12</v>
      </c>
      <c r="C72">
        <v>87</v>
      </c>
      <c r="D72" t="s">
        <v>4</v>
      </c>
      <c r="E72">
        <f t="shared" si="1"/>
        <v>1.1494252873563218E-2</v>
      </c>
      <c r="F72">
        <f>GEOMEAN(E71:E72)</f>
        <v>3.4783923802698249E-2</v>
      </c>
    </row>
    <row r="73" spans="1:6" x14ac:dyDescent="0.35">
      <c r="A73">
        <v>21</v>
      </c>
      <c r="B73">
        <v>35</v>
      </c>
      <c r="C73">
        <v>33</v>
      </c>
      <c r="D73" t="s">
        <v>5</v>
      </c>
      <c r="E73">
        <f t="shared" si="1"/>
        <v>2.0202020202020204E-2</v>
      </c>
    </row>
    <row r="74" spans="1:6" x14ac:dyDescent="0.35">
      <c r="A74">
        <v>25</v>
      </c>
      <c r="B74">
        <v>32</v>
      </c>
      <c r="C74">
        <v>56</v>
      </c>
      <c r="D74" t="s">
        <v>5</v>
      </c>
      <c r="E74">
        <f t="shared" si="1"/>
        <v>5.0000000000000001E-3</v>
      </c>
    </row>
    <row r="75" spans="1:6" x14ac:dyDescent="0.35">
      <c r="A75">
        <v>7</v>
      </c>
      <c r="B75">
        <v>8</v>
      </c>
      <c r="C75">
        <v>11</v>
      </c>
      <c r="D75" t="s">
        <v>4</v>
      </c>
      <c r="E75">
        <f t="shared" si="1"/>
        <v>1.2987012987012981E-2</v>
      </c>
      <c r="F75">
        <f>GEOMEAN(E74:E75)</f>
        <v>8.0582296402538015E-3</v>
      </c>
    </row>
    <row r="76" spans="1:6" x14ac:dyDescent="0.35">
      <c r="A76">
        <v>30</v>
      </c>
      <c r="B76">
        <v>49</v>
      </c>
      <c r="C76">
        <v>20</v>
      </c>
      <c r="D76" t="s">
        <v>5</v>
      </c>
      <c r="E76">
        <f t="shared" si="1"/>
        <v>3.1666666666666662E-2</v>
      </c>
      <c r="F76">
        <f>GEOMEAN(E75:E76)</f>
        <v>2.0279433208435855E-2</v>
      </c>
    </row>
    <row r="77" spans="1:6" x14ac:dyDescent="0.35">
      <c r="A77">
        <v>6</v>
      </c>
      <c r="B77">
        <v>18</v>
      </c>
      <c r="C77">
        <v>69</v>
      </c>
      <c r="D77" t="s">
        <v>4</v>
      </c>
      <c r="E77">
        <f t="shared" si="1"/>
        <v>2.8985507246376812E-2</v>
      </c>
      <c r="F77">
        <f>GEOMEAN(E76:E77)</f>
        <v>3.0296441971546191E-2</v>
      </c>
    </row>
    <row r="78" spans="1:6" x14ac:dyDescent="0.35">
      <c r="A78">
        <v>21</v>
      </c>
      <c r="B78">
        <v>29</v>
      </c>
      <c r="C78">
        <v>53</v>
      </c>
      <c r="D78" t="s">
        <v>4</v>
      </c>
      <c r="E78">
        <f t="shared" si="1"/>
        <v>7.1877807726864326E-3</v>
      </c>
    </row>
    <row r="79" spans="1:6" x14ac:dyDescent="0.35">
      <c r="A79">
        <v>5</v>
      </c>
      <c r="B79">
        <v>14</v>
      </c>
      <c r="C79">
        <v>50</v>
      </c>
      <c r="D79" t="s">
        <v>5</v>
      </c>
      <c r="E79">
        <f t="shared" si="1"/>
        <v>3.5999999999999997E-2</v>
      </c>
      <c r="F79">
        <f>GEOMEAN(E78:E79)</f>
        <v>1.608602212533327E-2</v>
      </c>
    </row>
    <row r="80" spans="1:6" x14ac:dyDescent="0.35">
      <c r="A80">
        <v>16</v>
      </c>
      <c r="B80">
        <v>40</v>
      </c>
      <c r="C80">
        <v>19</v>
      </c>
      <c r="D80" t="s">
        <v>5</v>
      </c>
      <c r="E80">
        <f t="shared" si="1"/>
        <v>7.8947368421052627E-2</v>
      </c>
    </row>
    <row r="81" spans="1:6" x14ac:dyDescent="0.35">
      <c r="A81">
        <v>20</v>
      </c>
      <c r="B81">
        <v>43</v>
      </c>
      <c r="C81">
        <v>41</v>
      </c>
      <c r="D81" t="s">
        <v>5</v>
      </c>
      <c r="E81">
        <f t="shared" si="1"/>
        <v>2.8048780487804875E-2</v>
      </c>
    </row>
    <row r="82" spans="1:6" x14ac:dyDescent="0.35">
      <c r="A82">
        <v>20</v>
      </c>
      <c r="B82">
        <v>29</v>
      </c>
      <c r="C82">
        <v>18</v>
      </c>
      <c r="D82" t="s">
        <v>5</v>
      </c>
      <c r="E82">
        <f t="shared" si="1"/>
        <v>2.4999999999999998E-2</v>
      </c>
    </row>
    <row r="83" spans="1:6" x14ac:dyDescent="0.35">
      <c r="A83">
        <v>6</v>
      </c>
      <c r="B83">
        <v>18</v>
      </c>
      <c r="C83">
        <v>16</v>
      </c>
      <c r="D83" t="s">
        <v>5</v>
      </c>
      <c r="E83">
        <f t="shared" si="1"/>
        <v>0.125</v>
      </c>
    </row>
    <row r="84" spans="1:6" x14ac:dyDescent="0.35">
      <c r="A84">
        <v>20</v>
      </c>
      <c r="B84">
        <v>25</v>
      </c>
      <c r="C84">
        <v>72</v>
      </c>
      <c r="D84" t="s">
        <v>4</v>
      </c>
      <c r="E84">
        <f t="shared" si="1"/>
        <v>3.472222222222222E-3</v>
      </c>
      <c r="F84">
        <f>GEOMEAN(E83:E84)</f>
        <v>2.0833333333333332E-2</v>
      </c>
    </row>
    <row r="85" spans="1:6" x14ac:dyDescent="0.35">
      <c r="A85">
        <v>10</v>
      </c>
      <c r="B85">
        <v>20</v>
      </c>
      <c r="C85">
        <v>81</v>
      </c>
      <c r="D85" t="s">
        <v>5</v>
      </c>
      <c r="E85">
        <f t="shared" si="1"/>
        <v>1.2345679012345678E-2</v>
      </c>
      <c r="F85">
        <f>GEOMEAN(E84:E85)</f>
        <v>6.547285010986551E-3</v>
      </c>
    </row>
    <row r="86" spans="1:6" x14ac:dyDescent="0.35">
      <c r="A86">
        <v>28</v>
      </c>
      <c r="B86">
        <v>49</v>
      </c>
      <c r="C86">
        <v>65</v>
      </c>
      <c r="D86" t="s">
        <v>5</v>
      </c>
      <c r="E86">
        <f t="shared" si="1"/>
        <v>1.1538461538461539E-2</v>
      </c>
    </row>
    <row r="87" spans="1:6" x14ac:dyDescent="0.35">
      <c r="A87">
        <v>8</v>
      </c>
      <c r="B87">
        <v>17</v>
      </c>
      <c r="C87">
        <v>38</v>
      </c>
      <c r="D87" t="s">
        <v>5</v>
      </c>
      <c r="E87">
        <f t="shared" si="1"/>
        <v>2.9605263157894735E-2</v>
      </c>
    </row>
    <row r="88" spans="1:6" x14ac:dyDescent="0.35">
      <c r="A88">
        <v>20</v>
      </c>
      <c r="B88">
        <v>35</v>
      </c>
      <c r="C88">
        <v>10</v>
      </c>
      <c r="D88" t="s">
        <v>5</v>
      </c>
      <c r="E88">
        <f t="shared" si="1"/>
        <v>7.4999999999999997E-2</v>
      </c>
    </row>
    <row r="89" spans="1:6" x14ac:dyDescent="0.35">
      <c r="A89">
        <v>3</v>
      </c>
      <c r="B89">
        <v>9</v>
      </c>
      <c r="C89">
        <v>80</v>
      </c>
      <c r="D89" t="s">
        <v>4</v>
      </c>
      <c r="E89">
        <f t="shared" si="1"/>
        <v>2.5000000000000001E-2</v>
      </c>
      <c r="F89">
        <f>GEOMEAN(E88:E89)</f>
        <v>4.3301270189221933E-2</v>
      </c>
    </row>
    <row r="90" spans="1:6" x14ac:dyDescent="0.35">
      <c r="A90">
        <v>11</v>
      </c>
      <c r="B90">
        <v>21</v>
      </c>
      <c r="C90">
        <v>2</v>
      </c>
      <c r="D90" t="s">
        <v>5</v>
      </c>
      <c r="E90">
        <f t="shared" si="1"/>
        <v>0.45454545454545459</v>
      </c>
      <c r="F90">
        <f>GEOMEAN(E89:E90)</f>
        <v>0.10660035817780522</v>
      </c>
    </row>
    <row r="91" spans="1:6" x14ac:dyDescent="0.35">
      <c r="A91">
        <v>7</v>
      </c>
      <c r="B91">
        <v>10</v>
      </c>
      <c r="C91">
        <v>89</v>
      </c>
      <c r="D91" t="s">
        <v>5</v>
      </c>
      <c r="E91">
        <f t="shared" si="1"/>
        <v>4.8154093097913329E-3</v>
      </c>
    </row>
    <row r="92" spans="1:6" x14ac:dyDescent="0.35">
      <c r="A92">
        <v>8</v>
      </c>
      <c r="B92">
        <v>24</v>
      </c>
      <c r="C92">
        <v>67</v>
      </c>
      <c r="D92" t="s">
        <v>5</v>
      </c>
      <c r="E92">
        <f t="shared" si="1"/>
        <v>2.9850746268656716E-2</v>
      </c>
    </row>
    <row r="93" spans="1:6" x14ac:dyDescent="0.35">
      <c r="A93">
        <v>29</v>
      </c>
      <c r="B93">
        <v>33</v>
      </c>
      <c r="C93">
        <v>54</v>
      </c>
      <c r="D93" t="s">
        <v>4</v>
      </c>
      <c r="E93">
        <f t="shared" si="1"/>
        <v>2.5542784163473829E-3</v>
      </c>
      <c r="F93">
        <f>GEOMEAN(E92:E93)</f>
        <v>8.7319595112375567E-3</v>
      </c>
    </row>
    <row r="94" spans="1:6" x14ac:dyDescent="0.35">
      <c r="A94">
        <v>8</v>
      </c>
      <c r="B94">
        <v>24</v>
      </c>
      <c r="C94">
        <v>42</v>
      </c>
      <c r="D94" t="s">
        <v>5</v>
      </c>
      <c r="E94">
        <f t="shared" si="1"/>
        <v>4.7619047619047616E-2</v>
      </c>
      <c r="F94">
        <f>GEOMEAN(E93:E94)</f>
        <v>1.1028703710788117E-2</v>
      </c>
    </row>
    <row r="95" spans="1:6" x14ac:dyDescent="0.35">
      <c r="A95">
        <v>11</v>
      </c>
      <c r="B95">
        <v>12</v>
      </c>
      <c r="C95">
        <v>89</v>
      </c>
      <c r="D95" t="s">
        <v>4</v>
      </c>
      <c r="E95">
        <f t="shared" si="1"/>
        <v>1.021450459652706E-3</v>
      </c>
      <c r="F95">
        <f>GEOMEAN(E94:E95)</f>
        <v>6.9742740180394605E-3</v>
      </c>
    </row>
    <row r="96" spans="1:6" x14ac:dyDescent="0.35">
      <c r="A96">
        <v>16</v>
      </c>
      <c r="B96">
        <v>27</v>
      </c>
      <c r="C96">
        <v>75</v>
      </c>
      <c r="D96" t="s">
        <v>5</v>
      </c>
      <c r="E96">
        <f t="shared" si="1"/>
        <v>9.1666666666666667E-3</v>
      </c>
      <c r="F96">
        <f>GEOMEAN(E95:E96)</f>
        <v>3.0599503068105215E-3</v>
      </c>
    </row>
    <row r="97" spans="1:6" x14ac:dyDescent="0.35">
      <c r="A97">
        <v>9</v>
      </c>
      <c r="B97">
        <v>16</v>
      </c>
      <c r="C97">
        <v>74</v>
      </c>
      <c r="D97" t="s">
        <v>5</v>
      </c>
      <c r="E97">
        <f t="shared" si="1"/>
        <v>1.051051051051051E-2</v>
      </c>
    </row>
    <row r="98" spans="1:6" x14ac:dyDescent="0.35">
      <c r="A98">
        <v>21</v>
      </c>
      <c r="B98">
        <v>35</v>
      </c>
      <c r="C98">
        <v>35</v>
      </c>
      <c r="D98" t="s">
        <v>5</v>
      </c>
      <c r="E98">
        <f t="shared" si="1"/>
        <v>1.9047619047619049E-2</v>
      </c>
    </row>
    <row r="99" spans="1:6" x14ac:dyDescent="0.35">
      <c r="A99">
        <v>3</v>
      </c>
      <c r="B99">
        <v>9</v>
      </c>
      <c r="C99">
        <v>25</v>
      </c>
      <c r="D99" t="s">
        <v>4</v>
      </c>
      <c r="E99">
        <f t="shared" si="1"/>
        <v>0.08</v>
      </c>
      <c r="F99">
        <f>GEOMEAN(E98:E99)</f>
        <v>3.9036002917941327E-2</v>
      </c>
    </row>
    <row r="100" spans="1:6" x14ac:dyDescent="0.35">
      <c r="A100">
        <v>12</v>
      </c>
      <c r="B100">
        <v>25</v>
      </c>
      <c r="C100">
        <v>36</v>
      </c>
      <c r="D100" t="s">
        <v>5</v>
      </c>
      <c r="E100">
        <f t="shared" si="1"/>
        <v>3.0092592592592598E-2</v>
      </c>
      <c r="F100">
        <f>GEOMEAN(E99:E100)</f>
        <v>4.9065338146265819E-2</v>
      </c>
    </row>
    <row r="101" spans="1:6" x14ac:dyDescent="0.35">
      <c r="A101">
        <v>20</v>
      </c>
      <c r="B101">
        <v>39</v>
      </c>
      <c r="C101">
        <v>24</v>
      </c>
      <c r="D101" t="s">
        <v>5</v>
      </c>
      <c r="E101">
        <f t="shared" si="1"/>
        <v>3.9583333333333331E-2</v>
      </c>
    </row>
    <row r="103" spans="1:6" x14ac:dyDescent="0.35">
      <c r="E103" s="1" t="s">
        <v>7</v>
      </c>
      <c r="F103" s="1">
        <f>AVERAGE(F2:F101)</f>
        <v>3.5149519619927717E-2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selection activeCell="G1" sqref="G1:G10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</row>
    <row r="2" spans="1:6" x14ac:dyDescent="0.35">
      <c r="A2">
        <v>11</v>
      </c>
      <c r="B2">
        <v>12</v>
      </c>
      <c r="C2">
        <v>89</v>
      </c>
      <c r="D2" t="s">
        <v>5</v>
      </c>
      <c r="E2">
        <f t="shared" ref="E2:E33" si="0">((B2/A2)-1)/C2</f>
        <v>1.021450459652706E-3</v>
      </c>
    </row>
    <row r="3" spans="1:6" x14ac:dyDescent="0.35">
      <c r="A3">
        <v>24</v>
      </c>
      <c r="B3">
        <v>25</v>
      </c>
      <c r="C3">
        <v>39</v>
      </c>
      <c r="D3" t="s">
        <v>4</v>
      </c>
      <c r="E3">
        <f t="shared" si="0"/>
        <v>1.0683760683760702E-3</v>
      </c>
      <c r="F3">
        <f>GEOMEAN(E2:E3)</f>
        <v>1.0446498102831818E-3</v>
      </c>
    </row>
    <row r="4" spans="1:6" x14ac:dyDescent="0.35">
      <c r="A4">
        <v>24</v>
      </c>
      <c r="B4">
        <v>26</v>
      </c>
      <c r="C4">
        <v>68</v>
      </c>
      <c r="D4" t="s">
        <v>4</v>
      </c>
      <c r="E4">
        <f t="shared" si="0"/>
        <v>1.2254901960784303E-3</v>
      </c>
    </row>
    <row r="5" spans="1:6" x14ac:dyDescent="0.35">
      <c r="A5">
        <v>23</v>
      </c>
      <c r="B5">
        <v>25</v>
      </c>
      <c r="C5">
        <v>61</v>
      </c>
      <c r="D5" t="s">
        <v>4</v>
      </c>
      <c r="E5">
        <f t="shared" si="0"/>
        <v>1.4255167498218094E-3</v>
      </c>
    </row>
    <row r="6" spans="1:6" x14ac:dyDescent="0.35">
      <c r="A6">
        <v>10</v>
      </c>
      <c r="B6">
        <v>11</v>
      </c>
      <c r="C6">
        <v>46</v>
      </c>
      <c r="D6" t="s">
        <v>4</v>
      </c>
      <c r="E6">
        <f t="shared" si="0"/>
        <v>2.1739130434782626E-3</v>
      </c>
    </row>
    <row r="7" spans="1:6" x14ac:dyDescent="0.35">
      <c r="A7">
        <v>20</v>
      </c>
      <c r="B7">
        <v>23</v>
      </c>
      <c r="C7">
        <v>62</v>
      </c>
      <c r="D7" t="s">
        <v>4</v>
      </c>
      <c r="E7">
        <f t="shared" si="0"/>
        <v>2.4193548387096758E-3</v>
      </c>
    </row>
    <row r="8" spans="1:6" x14ac:dyDescent="0.35">
      <c r="A8">
        <v>29</v>
      </c>
      <c r="B8">
        <v>33</v>
      </c>
      <c r="C8">
        <v>54</v>
      </c>
      <c r="D8" t="s">
        <v>4</v>
      </c>
      <c r="E8">
        <f t="shared" si="0"/>
        <v>2.5542784163473829E-3</v>
      </c>
    </row>
    <row r="9" spans="1:6" x14ac:dyDescent="0.35">
      <c r="A9">
        <v>15</v>
      </c>
      <c r="B9">
        <v>19</v>
      </c>
      <c r="C9">
        <v>83</v>
      </c>
      <c r="D9" t="s">
        <v>5</v>
      </c>
      <c r="E9">
        <f t="shared" si="0"/>
        <v>3.2128514056224892E-3</v>
      </c>
      <c r="F9">
        <f>GEOMEAN(E8:E9)</f>
        <v>2.8647019042673315E-3</v>
      </c>
    </row>
    <row r="10" spans="1:6" x14ac:dyDescent="0.35">
      <c r="A10">
        <v>21</v>
      </c>
      <c r="B10">
        <v>25</v>
      </c>
      <c r="C10">
        <v>58</v>
      </c>
      <c r="D10" t="s">
        <v>4</v>
      </c>
      <c r="E10">
        <f t="shared" si="0"/>
        <v>3.2840722495894909E-3</v>
      </c>
      <c r="F10">
        <f>GEOMEAN(E9:E10)</f>
        <v>3.2482666367247941E-3</v>
      </c>
    </row>
    <row r="11" spans="1:6" x14ac:dyDescent="0.35">
      <c r="A11">
        <v>20</v>
      </c>
      <c r="B11">
        <v>25</v>
      </c>
      <c r="C11">
        <v>72</v>
      </c>
      <c r="D11" t="s">
        <v>4</v>
      </c>
      <c r="E11">
        <f t="shared" si="0"/>
        <v>3.472222222222222E-3</v>
      </c>
    </row>
    <row r="12" spans="1:6" x14ac:dyDescent="0.35">
      <c r="A12">
        <v>10</v>
      </c>
      <c r="B12">
        <v>12</v>
      </c>
      <c r="C12">
        <v>55</v>
      </c>
      <c r="D12" t="s">
        <v>4</v>
      </c>
      <c r="E12">
        <f t="shared" si="0"/>
        <v>3.6363636363636355E-3</v>
      </c>
    </row>
    <row r="13" spans="1:6" x14ac:dyDescent="0.35">
      <c r="A13">
        <v>16</v>
      </c>
      <c r="B13">
        <v>18</v>
      </c>
      <c r="C13">
        <v>29</v>
      </c>
      <c r="D13" t="s">
        <v>4</v>
      </c>
      <c r="E13">
        <f t="shared" si="0"/>
        <v>4.3103448275862068E-3</v>
      </c>
    </row>
    <row r="14" spans="1:6" x14ac:dyDescent="0.35">
      <c r="A14">
        <v>23</v>
      </c>
      <c r="B14">
        <v>31</v>
      </c>
      <c r="C14">
        <v>78</v>
      </c>
      <c r="D14" t="s">
        <v>4</v>
      </c>
      <c r="E14">
        <f t="shared" si="0"/>
        <v>4.459308807134894E-3</v>
      </c>
    </row>
    <row r="15" spans="1:6" x14ac:dyDescent="0.35">
      <c r="A15">
        <v>7</v>
      </c>
      <c r="B15">
        <v>10</v>
      </c>
      <c r="C15">
        <v>89</v>
      </c>
      <c r="D15" t="s">
        <v>4</v>
      </c>
      <c r="E15">
        <f t="shared" si="0"/>
        <v>4.8154093097913329E-3</v>
      </c>
    </row>
    <row r="16" spans="1:6" x14ac:dyDescent="0.35">
      <c r="A16">
        <v>14</v>
      </c>
      <c r="B16">
        <v>17</v>
      </c>
      <c r="C16">
        <v>43</v>
      </c>
      <c r="D16" t="s">
        <v>4</v>
      </c>
      <c r="E16">
        <f t="shared" si="0"/>
        <v>4.9833887043189348E-3</v>
      </c>
    </row>
    <row r="17" spans="1:5" x14ac:dyDescent="0.35">
      <c r="A17">
        <v>25</v>
      </c>
      <c r="B17">
        <v>32</v>
      </c>
      <c r="C17">
        <v>56</v>
      </c>
      <c r="D17" t="s">
        <v>4</v>
      </c>
      <c r="E17">
        <f t="shared" si="0"/>
        <v>5.0000000000000001E-3</v>
      </c>
    </row>
    <row r="18" spans="1:5" x14ac:dyDescent="0.35">
      <c r="A18">
        <v>29</v>
      </c>
      <c r="B18">
        <v>40</v>
      </c>
      <c r="C18">
        <v>71</v>
      </c>
      <c r="D18" t="s">
        <v>4</v>
      </c>
      <c r="E18">
        <f t="shared" si="0"/>
        <v>5.3423992229237509E-3</v>
      </c>
    </row>
    <row r="19" spans="1:5" x14ac:dyDescent="0.35">
      <c r="A19">
        <v>9</v>
      </c>
      <c r="B19">
        <v>14</v>
      </c>
      <c r="C19">
        <v>88</v>
      </c>
      <c r="D19" t="s">
        <v>4</v>
      </c>
      <c r="E19">
        <f t="shared" si="0"/>
        <v>6.313131313131313E-3</v>
      </c>
    </row>
    <row r="20" spans="1:5" x14ac:dyDescent="0.35">
      <c r="A20">
        <v>22</v>
      </c>
      <c r="B20">
        <v>34</v>
      </c>
      <c r="C20">
        <v>80</v>
      </c>
      <c r="D20" t="s">
        <v>4</v>
      </c>
      <c r="E20">
        <f t="shared" si="0"/>
        <v>6.8181818181818179E-3</v>
      </c>
    </row>
    <row r="21" spans="1:5" x14ac:dyDescent="0.35">
      <c r="A21">
        <v>20</v>
      </c>
      <c r="B21">
        <v>32</v>
      </c>
      <c r="C21">
        <v>86</v>
      </c>
      <c r="D21" t="s">
        <v>4</v>
      </c>
      <c r="E21">
        <f t="shared" si="0"/>
        <v>6.9767441860465124E-3</v>
      </c>
    </row>
    <row r="22" spans="1:5" x14ac:dyDescent="0.35">
      <c r="A22">
        <v>21</v>
      </c>
      <c r="B22">
        <v>29</v>
      </c>
      <c r="C22">
        <v>53</v>
      </c>
      <c r="D22" t="s">
        <v>4</v>
      </c>
      <c r="E22">
        <f t="shared" si="0"/>
        <v>7.1877807726864326E-3</v>
      </c>
    </row>
    <row r="23" spans="1:5" x14ac:dyDescent="0.35">
      <c r="A23">
        <v>27</v>
      </c>
      <c r="B23">
        <v>34</v>
      </c>
      <c r="C23">
        <v>32</v>
      </c>
      <c r="D23" t="s">
        <v>4</v>
      </c>
      <c r="E23">
        <f t="shared" si="0"/>
        <v>8.1018518518518531E-3</v>
      </c>
    </row>
    <row r="24" spans="1:5" x14ac:dyDescent="0.35">
      <c r="A24">
        <v>19</v>
      </c>
      <c r="B24">
        <v>32</v>
      </c>
      <c r="C24">
        <v>82</v>
      </c>
      <c r="D24" t="s">
        <v>4</v>
      </c>
      <c r="E24">
        <f t="shared" si="0"/>
        <v>8.344030808729138E-3</v>
      </c>
    </row>
    <row r="25" spans="1:5" x14ac:dyDescent="0.35">
      <c r="A25">
        <v>16</v>
      </c>
      <c r="B25">
        <v>27</v>
      </c>
      <c r="C25">
        <v>78</v>
      </c>
      <c r="D25" t="s">
        <v>4</v>
      </c>
      <c r="E25">
        <f t="shared" si="0"/>
        <v>8.814102564102564E-3</v>
      </c>
    </row>
    <row r="26" spans="1:5" x14ac:dyDescent="0.35">
      <c r="A26">
        <v>7</v>
      </c>
      <c r="B26">
        <v>11</v>
      </c>
      <c r="C26">
        <v>64</v>
      </c>
      <c r="D26" t="s">
        <v>4</v>
      </c>
      <c r="E26">
        <f t="shared" si="0"/>
        <v>8.9285714285714281E-3</v>
      </c>
    </row>
    <row r="27" spans="1:5" x14ac:dyDescent="0.35">
      <c r="A27">
        <v>16</v>
      </c>
      <c r="B27">
        <v>27</v>
      </c>
      <c r="C27">
        <v>75</v>
      </c>
      <c r="D27" t="s">
        <v>4</v>
      </c>
      <c r="E27">
        <f t="shared" si="0"/>
        <v>9.1666666666666667E-3</v>
      </c>
    </row>
    <row r="28" spans="1:5" x14ac:dyDescent="0.35">
      <c r="A28">
        <v>22</v>
      </c>
      <c r="B28">
        <v>30</v>
      </c>
      <c r="C28">
        <v>39</v>
      </c>
      <c r="D28" t="s">
        <v>4</v>
      </c>
      <c r="E28">
        <f t="shared" si="0"/>
        <v>9.3240093240093223E-3</v>
      </c>
    </row>
    <row r="29" spans="1:5" x14ac:dyDescent="0.35">
      <c r="A29">
        <v>27</v>
      </c>
      <c r="B29">
        <v>51</v>
      </c>
      <c r="C29">
        <v>90</v>
      </c>
      <c r="D29" t="s">
        <v>4</v>
      </c>
      <c r="E29">
        <f t="shared" si="0"/>
        <v>9.876543209876543E-3</v>
      </c>
    </row>
    <row r="30" spans="1:5" x14ac:dyDescent="0.35">
      <c r="A30">
        <v>9</v>
      </c>
      <c r="B30">
        <v>16</v>
      </c>
      <c r="C30">
        <v>74</v>
      </c>
      <c r="D30" t="s">
        <v>4</v>
      </c>
      <c r="E30">
        <f t="shared" si="0"/>
        <v>1.051051051051051E-2</v>
      </c>
    </row>
    <row r="31" spans="1:5" x14ac:dyDescent="0.35">
      <c r="A31">
        <v>24</v>
      </c>
      <c r="B31">
        <v>28</v>
      </c>
      <c r="C31">
        <v>15</v>
      </c>
      <c r="D31" t="s">
        <v>4</v>
      </c>
      <c r="E31">
        <f t="shared" si="0"/>
        <v>1.1111111111111117E-2</v>
      </c>
    </row>
    <row r="32" spans="1:5" x14ac:dyDescent="0.35">
      <c r="A32">
        <v>12</v>
      </c>
      <c r="B32">
        <v>23</v>
      </c>
      <c r="C32">
        <v>82</v>
      </c>
      <c r="D32" t="s">
        <v>4</v>
      </c>
      <c r="E32">
        <f t="shared" si="0"/>
        <v>1.1178861788617886E-2</v>
      </c>
    </row>
    <row r="33" spans="1:6" x14ac:dyDescent="0.35">
      <c r="A33">
        <v>6</v>
      </c>
      <c r="B33">
        <v>12</v>
      </c>
      <c r="C33">
        <v>87</v>
      </c>
      <c r="D33" t="s">
        <v>4</v>
      </c>
      <c r="E33">
        <f t="shared" si="0"/>
        <v>1.1494252873563218E-2</v>
      </c>
    </row>
    <row r="34" spans="1:6" x14ac:dyDescent="0.35">
      <c r="A34">
        <v>28</v>
      </c>
      <c r="B34">
        <v>49</v>
      </c>
      <c r="C34">
        <v>65</v>
      </c>
      <c r="D34" t="s">
        <v>4</v>
      </c>
      <c r="E34">
        <f t="shared" ref="E34:E65" si="1">((B34/A34)-1)/C34</f>
        <v>1.1538461538461539E-2</v>
      </c>
    </row>
    <row r="35" spans="1:6" x14ac:dyDescent="0.35">
      <c r="A35">
        <v>6</v>
      </c>
      <c r="B35">
        <v>8</v>
      </c>
      <c r="C35">
        <v>28</v>
      </c>
      <c r="D35" t="s">
        <v>4</v>
      </c>
      <c r="E35">
        <f t="shared" si="1"/>
        <v>1.1904761904761902E-2</v>
      </c>
    </row>
    <row r="36" spans="1:6" x14ac:dyDescent="0.35">
      <c r="A36">
        <v>14</v>
      </c>
      <c r="B36">
        <v>22</v>
      </c>
      <c r="C36">
        <v>47</v>
      </c>
      <c r="D36" t="s">
        <v>4</v>
      </c>
      <c r="E36">
        <f t="shared" si="1"/>
        <v>1.2158054711246201E-2</v>
      </c>
    </row>
    <row r="37" spans="1:6" x14ac:dyDescent="0.35">
      <c r="A37">
        <v>10</v>
      </c>
      <c r="B37">
        <v>20</v>
      </c>
      <c r="C37">
        <v>81</v>
      </c>
      <c r="D37" t="s">
        <v>4</v>
      </c>
      <c r="E37">
        <f t="shared" si="1"/>
        <v>1.2345679012345678E-2</v>
      </c>
    </row>
    <row r="38" spans="1:6" x14ac:dyDescent="0.35">
      <c r="A38">
        <v>26</v>
      </c>
      <c r="B38">
        <v>49</v>
      </c>
      <c r="C38">
        <v>70</v>
      </c>
      <c r="D38" t="s">
        <v>5</v>
      </c>
      <c r="E38">
        <f t="shared" si="1"/>
        <v>1.2637362637362638E-2</v>
      </c>
      <c r="F38">
        <f>GEOMEAN(E37:E38)</f>
        <v>1.2490669424954347E-2</v>
      </c>
    </row>
    <row r="39" spans="1:6" x14ac:dyDescent="0.35">
      <c r="A39">
        <v>26</v>
      </c>
      <c r="B39">
        <v>47</v>
      </c>
      <c r="C39">
        <v>63</v>
      </c>
      <c r="D39" t="s">
        <v>4</v>
      </c>
      <c r="E39">
        <f t="shared" si="1"/>
        <v>1.282051282051282E-2</v>
      </c>
    </row>
    <row r="40" spans="1:6" x14ac:dyDescent="0.35">
      <c r="A40">
        <v>24</v>
      </c>
      <c r="B40">
        <v>40</v>
      </c>
      <c r="C40">
        <v>52</v>
      </c>
      <c r="D40" t="s">
        <v>4</v>
      </c>
      <c r="E40">
        <f t="shared" si="1"/>
        <v>1.2820512820512822E-2</v>
      </c>
      <c r="F40">
        <f>GEOMEAN(E39:E40)</f>
        <v>1.282051282051282E-2</v>
      </c>
    </row>
    <row r="41" spans="1:6" x14ac:dyDescent="0.35">
      <c r="A41">
        <v>7</v>
      </c>
      <c r="B41">
        <v>8</v>
      </c>
      <c r="C41">
        <v>11</v>
      </c>
      <c r="D41" t="s">
        <v>4</v>
      </c>
      <c r="E41">
        <f t="shared" si="1"/>
        <v>1.2987012987012981E-2</v>
      </c>
    </row>
    <row r="42" spans="1:6" x14ac:dyDescent="0.35">
      <c r="A42">
        <v>30</v>
      </c>
      <c r="B42">
        <v>54</v>
      </c>
      <c r="C42">
        <v>57</v>
      </c>
      <c r="D42" t="s">
        <v>4</v>
      </c>
      <c r="E42">
        <f t="shared" si="1"/>
        <v>1.4035087719298246E-2</v>
      </c>
    </row>
    <row r="43" spans="1:6" x14ac:dyDescent="0.35">
      <c r="A43">
        <v>30</v>
      </c>
      <c r="B43">
        <v>52</v>
      </c>
      <c r="C43">
        <v>51</v>
      </c>
      <c r="D43" t="s">
        <v>5</v>
      </c>
      <c r="E43">
        <f t="shared" si="1"/>
        <v>1.4379084967320262E-2</v>
      </c>
      <c r="F43">
        <f>GEOMEAN(E42:E43)</f>
        <v>1.4206045151258059E-2</v>
      </c>
    </row>
    <row r="44" spans="1:6" x14ac:dyDescent="0.35">
      <c r="A44">
        <v>14</v>
      </c>
      <c r="B44">
        <v>31</v>
      </c>
      <c r="C44">
        <v>77</v>
      </c>
      <c r="D44" t="s">
        <v>4</v>
      </c>
      <c r="E44">
        <f t="shared" si="1"/>
        <v>1.5769944341372914E-2</v>
      </c>
      <c r="F44">
        <f>GEOMEAN(E43:E44)</f>
        <v>1.5058465048420856E-2</v>
      </c>
    </row>
    <row r="45" spans="1:6" x14ac:dyDescent="0.35">
      <c r="A45">
        <v>19</v>
      </c>
      <c r="B45">
        <v>33</v>
      </c>
      <c r="C45">
        <v>46</v>
      </c>
      <c r="D45" t="s">
        <v>4</v>
      </c>
      <c r="E45">
        <f t="shared" si="1"/>
        <v>1.6018306636155607E-2</v>
      </c>
    </row>
    <row r="46" spans="1:6" x14ac:dyDescent="0.35">
      <c r="A46">
        <v>17</v>
      </c>
      <c r="B46">
        <v>42</v>
      </c>
      <c r="C46">
        <v>84</v>
      </c>
      <c r="D46" t="s">
        <v>5</v>
      </c>
      <c r="E46">
        <f t="shared" si="1"/>
        <v>1.7507002801120448E-2</v>
      </c>
    </row>
    <row r="47" spans="1:6" x14ac:dyDescent="0.35">
      <c r="A47">
        <v>11</v>
      </c>
      <c r="B47">
        <v>26</v>
      </c>
      <c r="C47">
        <v>77</v>
      </c>
      <c r="D47" t="s">
        <v>4</v>
      </c>
      <c r="E47">
        <f t="shared" si="1"/>
        <v>1.770956316410862E-2</v>
      </c>
      <c r="F47">
        <f>GEOMEAN(E46:E47)</f>
        <v>1.7607991706059756E-2</v>
      </c>
    </row>
    <row r="48" spans="1:6" x14ac:dyDescent="0.35">
      <c r="A48">
        <v>21</v>
      </c>
      <c r="B48">
        <v>35</v>
      </c>
      <c r="C48">
        <v>35</v>
      </c>
      <c r="D48" t="s">
        <v>4</v>
      </c>
      <c r="E48">
        <f t="shared" si="1"/>
        <v>1.9047619047619049E-2</v>
      </c>
    </row>
    <row r="49" spans="1:6" x14ac:dyDescent="0.35">
      <c r="A49">
        <v>26</v>
      </c>
      <c r="B49">
        <v>49</v>
      </c>
      <c r="C49">
        <v>46</v>
      </c>
      <c r="D49" t="s">
        <v>4</v>
      </c>
      <c r="E49">
        <f t="shared" si="1"/>
        <v>1.9230769230769228E-2</v>
      </c>
    </row>
    <row r="50" spans="1:6" x14ac:dyDescent="0.35">
      <c r="A50">
        <v>17</v>
      </c>
      <c r="B50">
        <v>37</v>
      </c>
      <c r="C50">
        <v>60</v>
      </c>
      <c r="D50" t="s">
        <v>4</v>
      </c>
      <c r="E50">
        <f t="shared" si="1"/>
        <v>1.9607843137254898E-2</v>
      </c>
    </row>
    <row r="51" spans="1:6" x14ac:dyDescent="0.35">
      <c r="A51">
        <v>27</v>
      </c>
      <c r="B51">
        <v>47</v>
      </c>
      <c r="C51">
        <v>37</v>
      </c>
      <c r="D51" t="s">
        <v>4</v>
      </c>
      <c r="E51">
        <f t="shared" si="1"/>
        <v>2.002002002002002E-2</v>
      </c>
    </row>
    <row r="52" spans="1:6" x14ac:dyDescent="0.35">
      <c r="A52">
        <v>21</v>
      </c>
      <c r="B52">
        <v>35</v>
      </c>
      <c r="C52">
        <v>33</v>
      </c>
      <c r="D52" t="s">
        <v>4</v>
      </c>
      <c r="E52">
        <f t="shared" si="1"/>
        <v>2.0202020202020204E-2</v>
      </c>
    </row>
    <row r="53" spans="1:6" x14ac:dyDescent="0.35">
      <c r="A53">
        <v>20</v>
      </c>
      <c r="B53">
        <v>29</v>
      </c>
      <c r="C53">
        <v>22</v>
      </c>
      <c r="D53" t="s">
        <v>4</v>
      </c>
      <c r="E53">
        <f t="shared" si="1"/>
        <v>2.0454545454545451E-2</v>
      </c>
    </row>
    <row r="54" spans="1:6" x14ac:dyDescent="0.35">
      <c r="A54">
        <v>5</v>
      </c>
      <c r="B54">
        <v>10</v>
      </c>
      <c r="C54">
        <v>48</v>
      </c>
      <c r="D54" t="s">
        <v>4</v>
      </c>
      <c r="E54">
        <f t="shared" si="1"/>
        <v>2.0833333333333332E-2</v>
      </c>
    </row>
    <row r="55" spans="1:6" x14ac:dyDescent="0.35">
      <c r="A55">
        <v>11</v>
      </c>
      <c r="B55">
        <v>28</v>
      </c>
      <c r="C55">
        <v>73</v>
      </c>
      <c r="D55" t="s">
        <v>4</v>
      </c>
      <c r="E55">
        <f t="shared" si="1"/>
        <v>2.11706102117061E-2</v>
      </c>
    </row>
    <row r="56" spans="1:6" x14ac:dyDescent="0.35">
      <c r="A56">
        <v>3</v>
      </c>
      <c r="B56">
        <v>8</v>
      </c>
      <c r="C56">
        <v>76</v>
      </c>
      <c r="D56" t="s">
        <v>4</v>
      </c>
      <c r="E56">
        <f t="shared" si="1"/>
        <v>2.1929824561403508E-2</v>
      </c>
    </row>
    <row r="57" spans="1:6" x14ac:dyDescent="0.35">
      <c r="A57">
        <v>24</v>
      </c>
      <c r="B57">
        <v>33</v>
      </c>
      <c r="C57">
        <v>17</v>
      </c>
      <c r="D57" t="s">
        <v>5</v>
      </c>
      <c r="E57">
        <f t="shared" si="1"/>
        <v>2.2058823529411766E-2</v>
      </c>
      <c r="F57">
        <f>GEOMEAN(E56:E57)</f>
        <v>2.1994229471180838E-2</v>
      </c>
    </row>
    <row r="58" spans="1:6" x14ac:dyDescent="0.35">
      <c r="A58">
        <v>7</v>
      </c>
      <c r="B58">
        <v>21</v>
      </c>
      <c r="C58">
        <v>81</v>
      </c>
      <c r="D58" t="s">
        <v>4</v>
      </c>
      <c r="E58">
        <f t="shared" si="1"/>
        <v>2.4691358024691357E-2</v>
      </c>
    </row>
    <row r="59" spans="1:6" x14ac:dyDescent="0.35">
      <c r="A59">
        <v>20</v>
      </c>
      <c r="B59">
        <v>29</v>
      </c>
      <c r="C59">
        <v>18</v>
      </c>
      <c r="D59" t="s">
        <v>4</v>
      </c>
      <c r="E59">
        <f t="shared" si="1"/>
        <v>2.4999999999999998E-2</v>
      </c>
    </row>
    <row r="60" spans="1:6" x14ac:dyDescent="0.35">
      <c r="A60">
        <v>3</v>
      </c>
      <c r="B60">
        <v>9</v>
      </c>
      <c r="C60">
        <v>80</v>
      </c>
      <c r="D60" t="s">
        <v>4</v>
      </c>
      <c r="E60">
        <f t="shared" si="1"/>
        <v>2.5000000000000001E-2</v>
      </c>
    </row>
    <row r="61" spans="1:6" x14ac:dyDescent="0.35">
      <c r="A61">
        <v>22</v>
      </c>
      <c r="B61">
        <v>33</v>
      </c>
      <c r="C61">
        <v>20</v>
      </c>
      <c r="D61" t="s">
        <v>5</v>
      </c>
      <c r="E61">
        <f t="shared" si="1"/>
        <v>2.5000000000000001E-2</v>
      </c>
      <c r="F61">
        <f>GEOMEAN(E60:E61)</f>
        <v>2.5000000000000001E-2</v>
      </c>
    </row>
    <row r="62" spans="1:6" x14ac:dyDescent="0.35">
      <c r="A62">
        <v>7</v>
      </c>
      <c r="B62">
        <v>12</v>
      </c>
      <c r="C62">
        <v>26</v>
      </c>
      <c r="D62" t="s">
        <v>4</v>
      </c>
      <c r="E62">
        <f t="shared" si="1"/>
        <v>2.7472527472527469E-2</v>
      </c>
      <c r="F62">
        <f>GEOMEAN(E61:E62)</f>
        <v>2.6207120918047958E-2</v>
      </c>
    </row>
    <row r="63" spans="1:6" x14ac:dyDescent="0.35">
      <c r="A63">
        <v>20</v>
      </c>
      <c r="B63">
        <v>43</v>
      </c>
      <c r="C63">
        <v>41</v>
      </c>
      <c r="D63" t="s">
        <v>5</v>
      </c>
      <c r="E63">
        <f t="shared" si="1"/>
        <v>2.8048780487804875E-2</v>
      </c>
      <c r="F63">
        <f>GEOMEAN(E62:E63)</f>
        <v>2.7759158714235413E-2</v>
      </c>
    </row>
    <row r="64" spans="1:6" x14ac:dyDescent="0.35">
      <c r="A64">
        <v>6</v>
      </c>
      <c r="B64">
        <v>18</v>
      </c>
      <c r="C64">
        <v>69</v>
      </c>
      <c r="D64" t="s">
        <v>4</v>
      </c>
      <c r="E64">
        <f t="shared" si="1"/>
        <v>2.8985507246376812E-2</v>
      </c>
    </row>
    <row r="65" spans="1:6" x14ac:dyDescent="0.35">
      <c r="A65">
        <v>8</v>
      </c>
      <c r="B65">
        <v>17</v>
      </c>
      <c r="C65">
        <v>38</v>
      </c>
      <c r="D65" t="s">
        <v>4</v>
      </c>
      <c r="E65">
        <f t="shared" si="1"/>
        <v>2.9605263157894735E-2</v>
      </c>
    </row>
    <row r="66" spans="1:6" x14ac:dyDescent="0.35">
      <c r="A66">
        <v>8</v>
      </c>
      <c r="B66">
        <v>24</v>
      </c>
      <c r="C66">
        <v>67</v>
      </c>
      <c r="D66" t="s">
        <v>4</v>
      </c>
      <c r="E66">
        <f t="shared" ref="E66:E101" si="2">((B66/A66)-1)/C66</f>
        <v>2.9850746268656716E-2</v>
      </c>
    </row>
    <row r="67" spans="1:6" x14ac:dyDescent="0.35">
      <c r="A67">
        <v>7</v>
      </c>
      <c r="B67">
        <v>16</v>
      </c>
      <c r="C67">
        <v>43</v>
      </c>
      <c r="D67" t="s">
        <v>5</v>
      </c>
      <c r="E67">
        <f t="shared" si="2"/>
        <v>2.9900332225913619E-2</v>
      </c>
      <c r="F67">
        <f>GEOMEAN(E66:E67)</f>
        <v>2.9875528959740397E-2</v>
      </c>
    </row>
    <row r="68" spans="1:6" x14ac:dyDescent="0.35">
      <c r="A68">
        <v>12</v>
      </c>
      <c r="B68">
        <v>25</v>
      </c>
      <c r="C68">
        <v>36</v>
      </c>
      <c r="D68" t="s">
        <v>4</v>
      </c>
      <c r="E68">
        <f t="shared" si="2"/>
        <v>3.0092592592592598E-2</v>
      </c>
    </row>
    <row r="69" spans="1:6" x14ac:dyDescent="0.35">
      <c r="A69">
        <v>10</v>
      </c>
      <c r="B69">
        <v>30</v>
      </c>
      <c r="C69">
        <v>66</v>
      </c>
      <c r="D69" t="s">
        <v>4</v>
      </c>
      <c r="E69">
        <f t="shared" si="2"/>
        <v>3.0303030303030304E-2</v>
      </c>
    </row>
    <row r="70" spans="1:6" x14ac:dyDescent="0.35">
      <c r="A70">
        <v>30</v>
      </c>
      <c r="B70">
        <v>49</v>
      </c>
      <c r="C70">
        <v>20</v>
      </c>
      <c r="D70" t="s">
        <v>5</v>
      </c>
      <c r="E70">
        <f t="shared" si="2"/>
        <v>3.1666666666666662E-2</v>
      </c>
      <c r="F70">
        <f>GEOMEAN(E69:E70)</f>
        <v>3.097734590948617E-2</v>
      </c>
    </row>
    <row r="71" spans="1:6" x14ac:dyDescent="0.35">
      <c r="A71">
        <v>5</v>
      </c>
      <c r="B71">
        <v>15</v>
      </c>
      <c r="C71">
        <v>59</v>
      </c>
      <c r="D71" t="s">
        <v>4</v>
      </c>
      <c r="E71">
        <f t="shared" si="2"/>
        <v>3.3898305084745763E-2</v>
      </c>
    </row>
    <row r="72" spans="1:6" x14ac:dyDescent="0.35">
      <c r="A72">
        <v>18</v>
      </c>
      <c r="B72">
        <v>34</v>
      </c>
      <c r="C72">
        <v>26</v>
      </c>
      <c r="D72" t="s">
        <v>4</v>
      </c>
      <c r="E72">
        <f t="shared" si="2"/>
        <v>3.4188034188034185E-2</v>
      </c>
    </row>
    <row r="73" spans="1:6" x14ac:dyDescent="0.35">
      <c r="A73">
        <v>5</v>
      </c>
      <c r="B73">
        <v>14</v>
      </c>
      <c r="C73">
        <v>50</v>
      </c>
      <c r="D73" t="s">
        <v>5</v>
      </c>
      <c r="E73">
        <f t="shared" si="2"/>
        <v>3.5999999999999997E-2</v>
      </c>
      <c r="F73">
        <f>GEOMEAN(E72:E73)</f>
        <v>3.5082320772281163E-2</v>
      </c>
    </row>
    <row r="74" spans="1:6" x14ac:dyDescent="0.35">
      <c r="A74">
        <v>20</v>
      </c>
      <c r="B74">
        <v>39</v>
      </c>
      <c r="C74">
        <v>24</v>
      </c>
      <c r="D74" t="s">
        <v>4</v>
      </c>
      <c r="E74">
        <f t="shared" si="2"/>
        <v>3.9583333333333331E-2</v>
      </c>
      <c r="F74">
        <f>GEOMEAN(E73:E74)</f>
        <v>3.7749172176353749E-2</v>
      </c>
    </row>
    <row r="75" spans="1:6" x14ac:dyDescent="0.35">
      <c r="A75">
        <v>8</v>
      </c>
      <c r="B75">
        <v>24</v>
      </c>
      <c r="C75">
        <v>49</v>
      </c>
      <c r="D75" t="s">
        <v>4</v>
      </c>
      <c r="E75">
        <f t="shared" si="2"/>
        <v>4.0816326530612242E-2</v>
      </c>
    </row>
    <row r="76" spans="1:6" x14ac:dyDescent="0.35">
      <c r="A76">
        <v>6</v>
      </c>
      <c r="B76">
        <v>18</v>
      </c>
      <c r="C76">
        <v>45</v>
      </c>
      <c r="D76" t="s">
        <v>4</v>
      </c>
      <c r="E76">
        <f t="shared" si="2"/>
        <v>4.4444444444444446E-2</v>
      </c>
    </row>
    <row r="77" spans="1:6" x14ac:dyDescent="0.35">
      <c r="A77">
        <v>27</v>
      </c>
      <c r="B77">
        <v>44</v>
      </c>
      <c r="C77">
        <v>14</v>
      </c>
      <c r="D77" t="s">
        <v>5</v>
      </c>
      <c r="E77">
        <f t="shared" si="2"/>
        <v>4.4973544973544964E-2</v>
      </c>
      <c r="F77">
        <f>GEOMEAN(E76:E77)</f>
        <v>4.4708212009053137E-2</v>
      </c>
    </row>
    <row r="78" spans="1:6" x14ac:dyDescent="0.35">
      <c r="A78">
        <v>8</v>
      </c>
      <c r="B78">
        <v>24</v>
      </c>
      <c r="C78">
        <v>42</v>
      </c>
      <c r="D78" t="s">
        <v>4</v>
      </c>
      <c r="E78">
        <f t="shared" si="2"/>
        <v>4.7619047619047616E-2</v>
      </c>
      <c r="F78">
        <f>GEOMEAN(E77:E78)</f>
        <v>4.6277395990835711E-2</v>
      </c>
    </row>
    <row r="79" spans="1:6" x14ac:dyDescent="0.35">
      <c r="A79">
        <v>3</v>
      </c>
      <c r="B79">
        <v>9</v>
      </c>
      <c r="C79">
        <v>38</v>
      </c>
      <c r="D79" t="s">
        <v>4</v>
      </c>
      <c r="E79">
        <f t="shared" si="2"/>
        <v>5.2631578947368418E-2</v>
      </c>
    </row>
    <row r="80" spans="1:6" x14ac:dyDescent="0.35">
      <c r="A80">
        <v>14</v>
      </c>
      <c r="B80">
        <v>31</v>
      </c>
      <c r="C80">
        <v>23</v>
      </c>
      <c r="D80" t="s">
        <v>5</v>
      </c>
      <c r="E80">
        <f t="shared" si="2"/>
        <v>5.2795031055900624E-2</v>
      </c>
      <c r="F80">
        <f>GEOMEAN(E79:E80)</f>
        <v>5.2713241648066012E-2</v>
      </c>
    </row>
    <row r="81" spans="1:6" x14ac:dyDescent="0.35">
      <c r="A81">
        <v>8</v>
      </c>
      <c r="B81">
        <v>19</v>
      </c>
      <c r="C81">
        <v>25</v>
      </c>
      <c r="D81" t="s">
        <v>5</v>
      </c>
      <c r="E81">
        <f t="shared" si="2"/>
        <v>5.5E-2</v>
      </c>
    </row>
    <row r="82" spans="1:6" x14ac:dyDescent="0.35">
      <c r="A82">
        <v>12</v>
      </c>
      <c r="B82">
        <v>34</v>
      </c>
      <c r="C82">
        <v>30</v>
      </c>
      <c r="D82" t="s">
        <v>4</v>
      </c>
      <c r="E82">
        <f t="shared" si="2"/>
        <v>6.1111111111111116E-2</v>
      </c>
      <c r="F82">
        <f>GEOMEAN(E81:E82)</f>
        <v>5.7975090436420289E-2</v>
      </c>
    </row>
    <row r="83" spans="1:6" x14ac:dyDescent="0.35">
      <c r="A83">
        <v>7</v>
      </c>
      <c r="B83">
        <v>20</v>
      </c>
      <c r="C83">
        <v>30</v>
      </c>
      <c r="D83" t="s">
        <v>4</v>
      </c>
      <c r="E83">
        <f t="shared" si="2"/>
        <v>6.1904761904761907E-2</v>
      </c>
    </row>
    <row r="84" spans="1:6" x14ac:dyDescent="0.35">
      <c r="A84">
        <v>6</v>
      </c>
      <c r="B84">
        <v>18</v>
      </c>
      <c r="C84">
        <v>31</v>
      </c>
      <c r="D84" t="s">
        <v>4</v>
      </c>
      <c r="E84">
        <f t="shared" si="2"/>
        <v>6.4516129032258063E-2</v>
      </c>
    </row>
    <row r="85" spans="1:6" x14ac:dyDescent="0.35">
      <c r="A85">
        <v>20</v>
      </c>
      <c r="B85">
        <v>35</v>
      </c>
      <c r="C85">
        <v>10</v>
      </c>
      <c r="D85" t="s">
        <v>5</v>
      </c>
      <c r="E85">
        <f t="shared" si="2"/>
        <v>7.4999999999999997E-2</v>
      </c>
      <c r="F85">
        <f>GEOMEAN(E84:E85)</f>
        <v>6.9560834364025242E-2</v>
      </c>
    </row>
    <row r="86" spans="1:6" x14ac:dyDescent="0.35">
      <c r="A86">
        <v>16</v>
      </c>
      <c r="B86">
        <v>40</v>
      </c>
      <c r="C86">
        <v>19</v>
      </c>
      <c r="D86" t="s">
        <v>5</v>
      </c>
      <c r="E86">
        <f t="shared" si="2"/>
        <v>7.8947368421052627E-2</v>
      </c>
    </row>
    <row r="87" spans="1:6" x14ac:dyDescent="0.35">
      <c r="A87">
        <v>3</v>
      </c>
      <c r="B87">
        <v>9</v>
      </c>
      <c r="C87">
        <v>25</v>
      </c>
      <c r="D87" t="s">
        <v>4</v>
      </c>
      <c r="E87">
        <f t="shared" si="2"/>
        <v>0.08</v>
      </c>
      <c r="F87">
        <f>GEOMEAN(E86:E87)</f>
        <v>7.9471941423902626E-2</v>
      </c>
    </row>
    <row r="88" spans="1:6" x14ac:dyDescent="0.35">
      <c r="A88">
        <v>22</v>
      </c>
      <c r="B88">
        <v>47</v>
      </c>
      <c r="C88">
        <v>13</v>
      </c>
      <c r="D88" t="s">
        <v>4</v>
      </c>
      <c r="E88">
        <f t="shared" si="2"/>
        <v>8.7412587412587409E-2</v>
      </c>
    </row>
    <row r="89" spans="1:6" x14ac:dyDescent="0.35">
      <c r="A89">
        <v>22</v>
      </c>
      <c r="B89">
        <v>24</v>
      </c>
      <c r="C89">
        <v>1</v>
      </c>
      <c r="D89" t="s">
        <v>4</v>
      </c>
      <c r="E89">
        <f t="shared" si="2"/>
        <v>9.0909090909090828E-2</v>
      </c>
    </row>
    <row r="90" spans="1:6" x14ac:dyDescent="0.35">
      <c r="A90">
        <v>30</v>
      </c>
      <c r="B90">
        <v>55</v>
      </c>
      <c r="C90">
        <v>9</v>
      </c>
      <c r="D90" t="s">
        <v>5</v>
      </c>
      <c r="E90">
        <f t="shared" si="2"/>
        <v>9.2592592592592587E-2</v>
      </c>
      <c r="F90">
        <f>GEOMEAN(E89:E90)</f>
        <v>9.1746980427196673E-2</v>
      </c>
    </row>
    <row r="91" spans="1:6" x14ac:dyDescent="0.35">
      <c r="A91">
        <v>10</v>
      </c>
      <c r="B91">
        <v>30</v>
      </c>
      <c r="C91">
        <v>21</v>
      </c>
      <c r="D91" t="s">
        <v>4</v>
      </c>
      <c r="E91">
        <f t="shared" si="2"/>
        <v>9.5238095238095233E-2</v>
      </c>
      <c r="F91">
        <f>GEOMEAN(E90:E91)</f>
        <v>9.3906028303168507E-2</v>
      </c>
    </row>
    <row r="92" spans="1:6" x14ac:dyDescent="0.35">
      <c r="A92">
        <v>10</v>
      </c>
      <c r="B92">
        <v>30</v>
      </c>
      <c r="C92">
        <v>19</v>
      </c>
      <c r="D92" t="s">
        <v>4</v>
      </c>
      <c r="E92">
        <f t="shared" si="2"/>
        <v>0.10526315789473684</v>
      </c>
    </row>
    <row r="93" spans="1:6" x14ac:dyDescent="0.35">
      <c r="A93">
        <v>6</v>
      </c>
      <c r="B93">
        <v>18</v>
      </c>
      <c r="C93">
        <v>16</v>
      </c>
      <c r="D93" t="s">
        <v>4</v>
      </c>
      <c r="E93">
        <f t="shared" si="2"/>
        <v>0.125</v>
      </c>
    </row>
    <row r="94" spans="1:6" x14ac:dyDescent="0.35">
      <c r="A94">
        <v>14</v>
      </c>
      <c r="B94">
        <v>28</v>
      </c>
      <c r="C94">
        <v>7</v>
      </c>
      <c r="D94" t="s">
        <v>5</v>
      </c>
      <c r="E94">
        <f t="shared" si="2"/>
        <v>0.14285714285714285</v>
      </c>
      <c r="F94">
        <f>GEOMEAN(E93:E94)</f>
        <v>0.1336306209562122</v>
      </c>
    </row>
    <row r="95" spans="1:6" x14ac:dyDescent="0.35">
      <c r="A95">
        <v>6</v>
      </c>
      <c r="B95">
        <v>18</v>
      </c>
      <c r="C95">
        <v>12</v>
      </c>
      <c r="D95" t="s">
        <v>5</v>
      </c>
      <c r="E95">
        <f t="shared" si="2"/>
        <v>0.16666666666666666</v>
      </c>
    </row>
    <row r="96" spans="1:6" x14ac:dyDescent="0.35">
      <c r="A96">
        <v>9</v>
      </c>
      <c r="B96">
        <v>27</v>
      </c>
      <c r="C96">
        <v>8</v>
      </c>
      <c r="D96" t="s">
        <v>5</v>
      </c>
      <c r="E96">
        <f t="shared" si="2"/>
        <v>0.25</v>
      </c>
    </row>
    <row r="97" spans="1:6" x14ac:dyDescent="0.35">
      <c r="A97">
        <v>21</v>
      </c>
      <c r="B97">
        <v>44</v>
      </c>
      <c r="C97">
        <v>4</v>
      </c>
      <c r="D97" t="s">
        <v>5</v>
      </c>
      <c r="E97">
        <f t="shared" si="2"/>
        <v>0.27380952380952384</v>
      </c>
    </row>
    <row r="98" spans="1:6" x14ac:dyDescent="0.35">
      <c r="A98">
        <v>10</v>
      </c>
      <c r="B98">
        <v>30</v>
      </c>
      <c r="C98">
        <v>6</v>
      </c>
      <c r="D98" t="s">
        <v>4</v>
      </c>
      <c r="E98">
        <f t="shared" si="2"/>
        <v>0.33333333333333331</v>
      </c>
      <c r="F98">
        <f>GEOMEAN(E97:E98)</f>
        <v>0.30210898905832195</v>
      </c>
    </row>
    <row r="99" spans="1:6" x14ac:dyDescent="0.35">
      <c r="A99">
        <v>8</v>
      </c>
      <c r="B99">
        <v>24</v>
      </c>
      <c r="C99">
        <v>5</v>
      </c>
      <c r="D99" t="s">
        <v>5</v>
      </c>
      <c r="E99">
        <f t="shared" si="2"/>
        <v>0.4</v>
      </c>
    </row>
    <row r="100" spans="1:6" x14ac:dyDescent="0.35">
      <c r="A100">
        <v>11</v>
      </c>
      <c r="B100">
        <v>21</v>
      </c>
      <c r="C100">
        <v>2</v>
      </c>
      <c r="D100" t="s">
        <v>4</v>
      </c>
      <c r="E100">
        <f t="shared" si="2"/>
        <v>0.45454545454545459</v>
      </c>
    </row>
    <row r="101" spans="1:6" x14ac:dyDescent="0.35">
      <c r="A101">
        <v>12</v>
      </c>
      <c r="B101">
        <v>33</v>
      </c>
      <c r="C101">
        <v>1</v>
      </c>
      <c r="D101" t="s">
        <v>5</v>
      </c>
      <c r="E101">
        <f t="shared" si="2"/>
        <v>1.75</v>
      </c>
      <c r="F101">
        <f>GEOMEAN(E100:E101)</f>
        <v>0.89188258501584472</v>
      </c>
    </row>
    <row r="103" spans="1:6" x14ac:dyDescent="0.35">
      <c r="E103" s="1" t="s">
        <v>7</v>
      </c>
      <c r="F103" s="1">
        <f>AVERAGE(F2:F101)</f>
        <v>8.0665485150253846E-2</v>
      </c>
    </row>
  </sheetData>
  <sortState ref="A2:E101">
    <sortCondition ref="E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zoomScale="70" zoomScaleNormal="70" workbookViewId="0">
      <selection activeCell="M12" sqref="M1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</row>
    <row r="2" spans="1:6" x14ac:dyDescent="0.35">
      <c r="A2">
        <v>11</v>
      </c>
      <c r="B2">
        <v>12</v>
      </c>
      <c r="C2">
        <v>89</v>
      </c>
      <c r="D2" t="s">
        <v>4</v>
      </c>
      <c r="E2">
        <f t="shared" ref="E2:E33" si="0">((B2/A2)-1)/C2</f>
        <v>1.021450459652706E-3</v>
      </c>
    </row>
    <row r="3" spans="1:6" x14ac:dyDescent="0.35">
      <c r="A3">
        <v>24</v>
      </c>
      <c r="B3">
        <v>25</v>
      </c>
      <c r="C3">
        <v>39</v>
      </c>
      <c r="D3" t="s">
        <v>5</v>
      </c>
      <c r="E3">
        <f t="shared" si="0"/>
        <v>1.0683760683760702E-3</v>
      </c>
      <c r="F3">
        <f>GEOMEAN(E2:E3)</f>
        <v>1.0446498102831818E-3</v>
      </c>
    </row>
    <row r="4" spans="1:6" x14ac:dyDescent="0.35">
      <c r="A4">
        <v>24</v>
      </c>
      <c r="B4">
        <v>26</v>
      </c>
      <c r="C4">
        <v>68</v>
      </c>
      <c r="D4" t="s">
        <v>4</v>
      </c>
      <c r="E4">
        <f t="shared" si="0"/>
        <v>1.2254901960784303E-3</v>
      </c>
    </row>
    <row r="5" spans="1:6" x14ac:dyDescent="0.35">
      <c r="A5">
        <v>23</v>
      </c>
      <c r="B5">
        <v>25</v>
      </c>
      <c r="C5">
        <v>61</v>
      </c>
      <c r="D5" t="s">
        <v>5</v>
      </c>
      <c r="E5">
        <f t="shared" si="0"/>
        <v>1.4255167498218094E-3</v>
      </c>
      <c r="F5">
        <f>GEOMEAN(E4:E5)</f>
        <v>1.3217249340359044E-3</v>
      </c>
    </row>
    <row r="6" spans="1:6" x14ac:dyDescent="0.35">
      <c r="A6">
        <v>10</v>
      </c>
      <c r="B6">
        <v>11</v>
      </c>
      <c r="C6">
        <v>46</v>
      </c>
      <c r="D6" t="s">
        <v>5</v>
      </c>
      <c r="E6">
        <f t="shared" si="0"/>
        <v>2.1739130434782626E-3</v>
      </c>
    </row>
    <row r="7" spans="1:6" x14ac:dyDescent="0.35">
      <c r="A7">
        <v>20</v>
      </c>
      <c r="B7">
        <v>23</v>
      </c>
      <c r="C7">
        <v>62</v>
      </c>
      <c r="D7" t="s">
        <v>4</v>
      </c>
      <c r="E7">
        <f t="shared" si="0"/>
        <v>2.4193548387096758E-3</v>
      </c>
      <c r="F7">
        <f>GEOMEAN(E6:E7)</f>
        <v>2.2933527946378449E-3</v>
      </c>
    </row>
    <row r="8" spans="1:6" x14ac:dyDescent="0.35">
      <c r="A8">
        <v>29</v>
      </c>
      <c r="B8">
        <v>33</v>
      </c>
      <c r="C8">
        <v>54</v>
      </c>
      <c r="D8" t="s">
        <v>5</v>
      </c>
      <c r="E8">
        <f t="shared" si="0"/>
        <v>2.5542784163473829E-3</v>
      </c>
      <c r="F8">
        <f>GEOMEAN(E7:E8)</f>
        <v>2.4859014151815692E-3</v>
      </c>
    </row>
    <row r="9" spans="1:6" x14ac:dyDescent="0.35">
      <c r="A9">
        <v>15</v>
      </c>
      <c r="B9">
        <v>19</v>
      </c>
      <c r="C9">
        <v>83</v>
      </c>
      <c r="D9" t="s">
        <v>4</v>
      </c>
      <c r="E9">
        <f t="shared" si="0"/>
        <v>3.2128514056224892E-3</v>
      </c>
      <c r="F9">
        <f>GEOMEAN(E8:E9)</f>
        <v>2.8647019042673315E-3</v>
      </c>
    </row>
    <row r="10" spans="1:6" x14ac:dyDescent="0.35">
      <c r="A10">
        <v>21</v>
      </c>
      <c r="B10">
        <v>25</v>
      </c>
      <c r="C10">
        <v>58</v>
      </c>
      <c r="D10" t="s">
        <v>4</v>
      </c>
      <c r="E10">
        <f t="shared" si="0"/>
        <v>3.2840722495894909E-3</v>
      </c>
    </row>
    <row r="11" spans="1:6" x14ac:dyDescent="0.35">
      <c r="A11">
        <v>20</v>
      </c>
      <c r="B11">
        <v>25</v>
      </c>
      <c r="C11">
        <v>72</v>
      </c>
      <c r="D11" t="s">
        <v>4</v>
      </c>
      <c r="E11">
        <f t="shared" si="0"/>
        <v>3.472222222222222E-3</v>
      </c>
    </row>
    <row r="12" spans="1:6" x14ac:dyDescent="0.35">
      <c r="A12">
        <v>10</v>
      </c>
      <c r="B12">
        <v>12</v>
      </c>
      <c r="C12">
        <v>55</v>
      </c>
      <c r="D12" t="s">
        <v>5</v>
      </c>
      <c r="E12">
        <f t="shared" si="0"/>
        <v>3.6363636363636355E-3</v>
      </c>
      <c r="F12">
        <f>GEOMEAN(E11:E12)</f>
        <v>3.5533452725935066E-3</v>
      </c>
    </row>
    <row r="13" spans="1:6" x14ac:dyDescent="0.35">
      <c r="A13">
        <v>16</v>
      </c>
      <c r="B13">
        <v>18</v>
      </c>
      <c r="C13">
        <v>29</v>
      </c>
      <c r="D13" t="s">
        <v>4</v>
      </c>
      <c r="E13">
        <f t="shared" si="0"/>
        <v>4.3103448275862068E-3</v>
      </c>
    </row>
    <row r="14" spans="1:6" x14ac:dyDescent="0.35">
      <c r="A14">
        <v>23</v>
      </c>
      <c r="B14">
        <v>31</v>
      </c>
      <c r="C14">
        <v>78</v>
      </c>
      <c r="D14" t="s">
        <v>5</v>
      </c>
      <c r="E14">
        <f t="shared" si="0"/>
        <v>4.459308807134894E-3</v>
      </c>
      <c r="F14">
        <f>GEOMEAN(E13:E14)</f>
        <v>4.3841941849607335E-3</v>
      </c>
    </row>
    <row r="15" spans="1:6" x14ac:dyDescent="0.35">
      <c r="A15">
        <v>7</v>
      </c>
      <c r="B15">
        <v>10</v>
      </c>
      <c r="C15">
        <v>89</v>
      </c>
      <c r="D15" t="s">
        <v>5</v>
      </c>
      <c r="E15">
        <f t="shared" si="0"/>
        <v>4.8154093097913329E-3</v>
      </c>
    </row>
    <row r="16" spans="1:6" x14ac:dyDescent="0.35">
      <c r="A16">
        <v>14</v>
      </c>
      <c r="B16">
        <v>17</v>
      </c>
      <c r="C16">
        <v>43</v>
      </c>
      <c r="D16" t="s">
        <v>5</v>
      </c>
      <c r="E16">
        <f t="shared" si="0"/>
        <v>4.9833887043189348E-3</v>
      </c>
    </row>
    <row r="17" spans="1:6" x14ac:dyDescent="0.35">
      <c r="A17">
        <v>25</v>
      </c>
      <c r="B17">
        <v>32</v>
      </c>
      <c r="C17">
        <v>56</v>
      </c>
      <c r="D17" t="s">
        <v>4</v>
      </c>
      <c r="E17">
        <f t="shared" si="0"/>
        <v>5.0000000000000001E-3</v>
      </c>
      <c r="F17">
        <f>GEOMEAN(E16:E17)</f>
        <v>4.9916874422979126E-3</v>
      </c>
    </row>
    <row r="18" spans="1:6" x14ac:dyDescent="0.35">
      <c r="A18">
        <v>29</v>
      </c>
      <c r="B18">
        <v>40</v>
      </c>
      <c r="C18">
        <v>71</v>
      </c>
      <c r="D18" t="s">
        <v>5</v>
      </c>
      <c r="E18">
        <f t="shared" si="0"/>
        <v>5.3423992229237509E-3</v>
      </c>
      <c r="F18">
        <f>GEOMEAN(E17:E18)</f>
        <v>5.1683649362848551E-3</v>
      </c>
    </row>
    <row r="19" spans="1:6" x14ac:dyDescent="0.35">
      <c r="A19">
        <v>9</v>
      </c>
      <c r="B19">
        <v>14</v>
      </c>
      <c r="C19">
        <v>88</v>
      </c>
      <c r="D19" t="s">
        <v>5</v>
      </c>
      <c r="E19">
        <f t="shared" si="0"/>
        <v>6.313131313131313E-3</v>
      </c>
    </row>
    <row r="20" spans="1:6" x14ac:dyDescent="0.35">
      <c r="A20">
        <v>22</v>
      </c>
      <c r="B20">
        <v>34</v>
      </c>
      <c r="C20">
        <v>80</v>
      </c>
      <c r="D20" t="s">
        <v>5</v>
      </c>
      <c r="E20">
        <f t="shared" si="0"/>
        <v>6.8181818181818179E-3</v>
      </c>
    </row>
    <row r="21" spans="1:6" x14ac:dyDescent="0.35">
      <c r="A21">
        <v>20</v>
      </c>
      <c r="B21">
        <v>32</v>
      </c>
      <c r="C21">
        <v>86</v>
      </c>
      <c r="D21" t="s">
        <v>5</v>
      </c>
      <c r="E21">
        <f t="shared" si="0"/>
        <v>6.9767441860465124E-3</v>
      </c>
    </row>
    <row r="22" spans="1:6" x14ac:dyDescent="0.35">
      <c r="A22">
        <v>21</v>
      </c>
      <c r="B22">
        <v>29</v>
      </c>
      <c r="C22">
        <v>53</v>
      </c>
      <c r="D22" t="s">
        <v>4</v>
      </c>
      <c r="E22">
        <f t="shared" si="0"/>
        <v>7.1877807726864326E-3</v>
      </c>
      <c r="F22">
        <f>GEOMEAN(E21:E22)</f>
        <v>7.0814763797118589E-3</v>
      </c>
    </row>
    <row r="23" spans="1:6" x14ac:dyDescent="0.35">
      <c r="A23">
        <v>27</v>
      </c>
      <c r="B23">
        <v>34</v>
      </c>
      <c r="C23">
        <v>32</v>
      </c>
      <c r="D23" t="s">
        <v>5</v>
      </c>
      <c r="E23">
        <f t="shared" si="0"/>
        <v>8.1018518518518531E-3</v>
      </c>
      <c r="F23">
        <f>GEOMEAN(E22:E23)</f>
        <v>7.6311424415938349E-3</v>
      </c>
    </row>
    <row r="24" spans="1:6" x14ac:dyDescent="0.35">
      <c r="A24">
        <v>19</v>
      </c>
      <c r="B24">
        <v>32</v>
      </c>
      <c r="C24">
        <v>82</v>
      </c>
      <c r="D24" t="s">
        <v>5</v>
      </c>
      <c r="E24">
        <f t="shared" si="0"/>
        <v>8.344030808729138E-3</v>
      </c>
    </row>
    <row r="25" spans="1:6" x14ac:dyDescent="0.35">
      <c r="A25">
        <v>16</v>
      </c>
      <c r="B25">
        <v>27</v>
      </c>
      <c r="C25">
        <v>78</v>
      </c>
      <c r="D25" t="s">
        <v>5</v>
      </c>
      <c r="E25">
        <f t="shared" si="0"/>
        <v>8.814102564102564E-3</v>
      </c>
    </row>
    <row r="26" spans="1:6" x14ac:dyDescent="0.35">
      <c r="A26">
        <v>7</v>
      </c>
      <c r="B26">
        <v>11</v>
      </c>
      <c r="C26">
        <v>64</v>
      </c>
      <c r="D26" t="s">
        <v>5</v>
      </c>
      <c r="E26">
        <f t="shared" si="0"/>
        <v>8.9285714285714281E-3</v>
      </c>
    </row>
    <row r="27" spans="1:6" x14ac:dyDescent="0.35">
      <c r="A27">
        <v>16</v>
      </c>
      <c r="B27">
        <v>27</v>
      </c>
      <c r="C27">
        <v>75</v>
      </c>
      <c r="D27" t="s">
        <v>4</v>
      </c>
      <c r="E27">
        <f t="shared" si="0"/>
        <v>9.1666666666666667E-3</v>
      </c>
      <c r="F27">
        <f>GEOMEAN(E26:E27)</f>
        <v>9.0468358056968231E-3</v>
      </c>
    </row>
    <row r="28" spans="1:6" x14ac:dyDescent="0.35">
      <c r="A28">
        <v>22</v>
      </c>
      <c r="B28">
        <v>30</v>
      </c>
      <c r="C28">
        <v>39</v>
      </c>
      <c r="D28" t="s">
        <v>4</v>
      </c>
      <c r="E28">
        <f t="shared" si="0"/>
        <v>9.3240093240093223E-3</v>
      </c>
    </row>
    <row r="29" spans="1:6" x14ac:dyDescent="0.35">
      <c r="A29">
        <v>27</v>
      </c>
      <c r="B29">
        <v>51</v>
      </c>
      <c r="C29">
        <v>90</v>
      </c>
      <c r="D29" t="s">
        <v>4</v>
      </c>
      <c r="E29">
        <f t="shared" si="0"/>
        <v>9.876543209876543E-3</v>
      </c>
    </row>
    <row r="30" spans="1:6" x14ac:dyDescent="0.35">
      <c r="A30">
        <v>9</v>
      </c>
      <c r="B30">
        <v>16</v>
      </c>
      <c r="C30">
        <v>74</v>
      </c>
      <c r="D30" t="s">
        <v>5</v>
      </c>
      <c r="E30">
        <f t="shared" si="0"/>
        <v>1.051051051051051E-2</v>
      </c>
      <c r="F30">
        <f>GEOMEAN(E29:E30)</f>
        <v>1.0188597117116694E-2</v>
      </c>
    </row>
    <row r="31" spans="1:6" x14ac:dyDescent="0.35">
      <c r="A31">
        <v>24</v>
      </c>
      <c r="B31">
        <v>28</v>
      </c>
      <c r="C31">
        <v>15</v>
      </c>
      <c r="D31" t="s">
        <v>5</v>
      </c>
      <c r="E31">
        <f t="shared" si="0"/>
        <v>1.1111111111111117E-2</v>
      </c>
    </row>
    <row r="32" spans="1:6" x14ac:dyDescent="0.35">
      <c r="A32">
        <v>12</v>
      </c>
      <c r="B32">
        <v>23</v>
      </c>
      <c r="C32">
        <v>82</v>
      </c>
      <c r="D32" t="s">
        <v>4</v>
      </c>
      <c r="E32">
        <f t="shared" si="0"/>
        <v>1.1178861788617886E-2</v>
      </c>
      <c r="F32">
        <f>GEOMEAN(E31:E32)</f>
        <v>1.1144934967467855E-2</v>
      </c>
    </row>
    <row r="33" spans="1:6" x14ac:dyDescent="0.35">
      <c r="A33">
        <v>6</v>
      </c>
      <c r="B33">
        <v>12</v>
      </c>
      <c r="C33">
        <v>87</v>
      </c>
      <c r="D33" t="s">
        <v>5</v>
      </c>
      <c r="E33">
        <f t="shared" si="0"/>
        <v>1.1494252873563218E-2</v>
      </c>
      <c r="F33">
        <f>GEOMEAN(E32:E33)</f>
        <v>1.1335460477501001E-2</v>
      </c>
    </row>
    <row r="34" spans="1:6" x14ac:dyDescent="0.35">
      <c r="A34">
        <v>28</v>
      </c>
      <c r="B34">
        <v>49</v>
      </c>
      <c r="C34">
        <v>65</v>
      </c>
      <c r="D34" t="s">
        <v>5</v>
      </c>
      <c r="E34">
        <f t="shared" ref="E34:E65" si="1">((B34/A34)-1)/C34</f>
        <v>1.1538461538461539E-2</v>
      </c>
    </row>
    <row r="35" spans="1:6" x14ac:dyDescent="0.35">
      <c r="A35">
        <v>6</v>
      </c>
      <c r="B35">
        <v>8</v>
      </c>
      <c r="C35">
        <v>28</v>
      </c>
      <c r="D35" t="s">
        <v>5</v>
      </c>
      <c r="E35">
        <f t="shared" si="1"/>
        <v>1.1904761904761902E-2</v>
      </c>
    </row>
    <row r="36" spans="1:6" x14ac:dyDescent="0.35">
      <c r="A36">
        <v>14</v>
      </c>
      <c r="B36">
        <v>22</v>
      </c>
      <c r="C36">
        <v>47</v>
      </c>
      <c r="D36" t="s">
        <v>5</v>
      </c>
      <c r="E36">
        <f t="shared" si="1"/>
        <v>1.2158054711246201E-2</v>
      </c>
    </row>
    <row r="37" spans="1:6" x14ac:dyDescent="0.35">
      <c r="A37">
        <v>10</v>
      </c>
      <c r="B37">
        <v>20</v>
      </c>
      <c r="C37">
        <v>81</v>
      </c>
      <c r="D37" t="s">
        <v>4</v>
      </c>
      <c r="E37">
        <f t="shared" si="1"/>
        <v>1.2345679012345678E-2</v>
      </c>
      <c r="F37">
        <f>GEOMEAN(E36:E37)</f>
        <v>1.2251507698221583E-2</v>
      </c>
    </row>
    <row r="38" spans="1:6" x14ac:dyDescent="0.35">
      <c r="A38">
        <v>26</v>
      </c>
      <c r="B38">
        <v>49</v>
      </c>
      <c r="C38">
        <v>70</v>
      </c>
      <c r="D38" t="s">
        <v>4</v>
      </c>
      <c r="E38">
        <f t="shared" si="1"/>
        <v>1.2637362637362638E-2</v>
      </c>
    </row>
    <row r="39" spans="1:6" x14ac:dyDescent="0.35">
      <c r="A39">
        <v>26</v>
      </c>
      <c r="B39">
        <v>47</v>
      </c>
      <c r="C39">
        <v>63</v>
      </c>
      <c r="D39" t="s">
        <v>4</v>
      </c>
      <c r="E39">
        <f t="shared" si="1"/>
        <v>1.282051282051282E-2</v>
      </c>
    </row>
    <row r="40" spans="1:6" x14ac:dyDescent="0.35">
      <c r="A40">
        <v>24</v>
      </c>
      <c r="B40">
        <v>40</v>
      </c>
      <c r="C40">
        <v>52</v>
      </c>
      <c r="D40" t="s">
        <v>4</v>
      </c>
      <c r="E40">
        <f t="shared" si="1"/>
        <v>1.2820512820512822E-2</v>
      </c>
    </row>
    <row r="41" spans="1:6" x14ac:dyDescent="0.35">
      <c r="A41">
        <v>7</v>
      </c>
      <c r="B41">
        <v>8</v>
      </c>
      <c r="C41">
        <v>11</v>
      </c>
      <c r="D41" t="s">
        <v>4</v>
      </c>
      <c r="E41">
        <f t="shared" si="1"/>
        <v>1.2987012987012981E-2</v>
      </c>
    </row>
    <row r="42" spans="1:6" x14ac:dyDescent="0.35">
      <c r="A42">
        <v>30</v>
      </c>
      <c r="B42">
        <v>54</v>
      </c>
      <c r="C42">
        <v>57</v>
      </c>
      <c r="D42" t="s">
        <v>4</v>
      </c>
      <c r="E42">
        <f t="shared" si="1"/>
        <v>1.4035087719298246E-2</v>
      </c>
    </row>
    <row r="43" spans="1:6" x14ac:dyDescent="0.35">
      <c r="A43">
        <v>30</v>
      </c>
      <c r="B43">
        <v>52</v>
      </c>
      <c r="C43">
        <v>51</v>
      </c>
      <c r="D43" t="s">
        <v>5</v>
      </c>
      <c r="E43">
        <f t="shared" si="1"/>
        <v>1.4379084967320262E-2</v>
      </c>
      <c r="F43">
        <f>GEOMEAN(E42:E43)</f>
        <v>1.4206045151258059E-2</v>
      </c>
    </row>
    <row r="44" spans="1:6" x14ac:dyDescent="0.35">
      <c r="A44">
        <v>14</v>
      </c>
      <c r="B44">
        <v>31</v>
      </c>
      <c r="C44">
        <v>77</v>
      </c>
      <c r="D44" t="s">
        <v>4</v>
      </c>
      <c r="E44">
        <f t="shared" si="1"/>
        <v>1.5769944341372914E-2</v>
      </c>
    </row>
    <row r="45" spans="1:6" x14ac:dyDescent="0.35">
      <c r="A45">
        <v>19</v>
      </c>
      <c r="B45">
        <v>33</v>
      </c>
      <c r="C45">
        <v>46</v>
      </c>
      <c r="D45" t="s">
        <v>4</v>
      </c>
      <c r="E45">
        <f t="shared" si="1"/>
        <v>1.6018306636155607E-2</v>
      </c>
    </row>
    <row r="46" spans="1:6" x14ac:dyDescent="0.35">
      <c r="A46">
        <v>17</v>
      </c>
      <c r="B46">
        <v>42</v>
      </c>
      <c r="C46">
        <v>84</v>
      </c>
      <c r="D46" t="s">
        <v>4</v>
      </c>
      <c r="E46">
        <f t="shared" si="1"/>
        <v>1.7507002801120448E-2</v>
      </c>
    </row>
    <row r="47" spans="1:6" x14ac:dyDescent="0.35">
      <c r="A47">
        <v>11</v>
      </c>
      <c r="B47">
        <v>26</v>
      </c>
      <c r="C47">
        <v>77</v>
      </c>
      <c r="D47" t="s">
        <v>4</v>
      </c>
      <c r="E47">
        <f t="shared" si="1"/>
        <v>1.770956316410862E-2</v>
      </c>
    </row>
    <row r="48" spans="1:6" x14ac:dyDescent="0.35">
      <c r="A48">
        <v>21</v>
      </c>
      <c r="B48">
        <v>35</v>
      </c>
      <c r="C48">
        <v>35</v>
      </c>
      <c r="D48" t="s">
        <v>5</v>
      </c>
      <c r="E48">
        <f t="shared" si="1"/>
        <v>1.9047619047619049E-2</v>
      </c>
      <c r="F48">
        <f>GEOMEAN(E47:E48)</f>
        <v>1.8366409900949288E-2</v>
      </c>
    </row>
    <row r="49" spans="1:6" x14ac:dyDescent="0.35">
      <c r="A49">
        <v>26</v>
      </c>
      <c r="B49">
        <v>49</v>
      </c>
      <c r="C49">
        <v>46</v>
      </c>
      <c r="D49" t="s">
        <v>4</v>
      </c>
      <c r="E49">
        <f t="shared" si="1"/>
        <v>1.9230769230769228E-2</v>
      </c>
      <c r="F49">
        <f>GEOMEAN(E48:E49)</f>
        <v>1.9138975058773818E-2</v>
      </c>
    </row>
    <row r="50" spans="1:6" x14ac:dyDescent="0.35">
      <c r="A50">
        <v>17</v>
      </c>
      <c r="B50">
        <v>37</v>
      </c>
      <c r="C50">
        <v>60</v>
      </c>
      <c r="D50" t="s">
        <v>4</v>
      </c>
      <c r="E50">
        <f t="shared" si="1"/>
        <v>1.9607843137254898E-2</v>
      </c>
    </row>
    <row r="51" spans="1:6" x14ac:dyDescent="0.35">
      <c r="A51">
        <v>27</v>
      </c>
      <c r="B51">
        <v>47</v>
      </c>
      <c r="C51">
        <v>37</v>
      </c>
      <c r="D51" t="s">
        <v>4</v>
      </c>
      <c r="E51">
        <f t="shared" si="1"/>
        <v>2.002002002002002E-2</v>
      </c>
    </row>
    <row r="52" spans="1:6" x14ac:dyDescent="0.35">
      <c r="A52">
        <v>21</v>
      </c>
      <c r="B52">
        <v>35</v>
      </c>
      <c r="C52">
        <v>33</v>
      </c>
      <c r="D52" t="s">
        <v>4</v>
      </c>
      <c r="E52">
        <f t="shared" si="1"/>
        <v>2.0202020202020204E-2</v>
      </c>
    </row>
    <row r="53" spans="1:6" x14ac:dyDescent="0.35">
      <c r="A53">
        <v>20</v>
      </c>
      <c r="B53">
        <v>29</v>
      </c>
      <c r="C53">
        <v>22</v>
      </c>
      <c r="D53" t="s">
        <v>5</v>
      </c>
      <c r="E53">
        <f t="shared" si="1"/>
        <v>2.0454545454545451E-2</v>
      </c>
      <c r="F53">
        <f>GEOMEAN(E52:E53)</f>
        <v>2.0327890704543539E-2</v>
      </c>
    </row>
    <row r="54" spans="1:6" x14ac:dyDescent="0.35">
      <c r="A54">
        <v>5</v>
      </c>
      <c r="B54">
        <v>10</v>
      </c>
      <c r="C54">
        <v>48</v>
      </c>
      <c r="D54" t="s">
        <v>5</v>
      </c>
      <c r="E54">
        <f t="shared" si="1"/>
        <v>2.0833333333333332E-2</v>
      </c>
    </row>
    <row r="55" spans="1:6" x14ac:dyDescent="0.35">
      <c r="A55">
        <v>11</v>
      </c>
      <c r="B55">
        <v>28</v>
      </c>
      <c r="C55">
        <v>73</v>
      </c>
      <c r="D55" t="s">
        <v>4</v>
      </c>
      <c r="E55">
        <f t="shared" si="1"/>
        <v>2.11706102117061E-2</v>
      </c>
      <c r="F55">
        <f>GEOMEAN(E54:E55)</f>
        <v>2.1001294707958928E-2</v>
      </c>
    </row>
    <row r="56" spans="1:6" x14ac:dyDescent="0.35">
      <c r="A56">
        <v>3</v>
      </c>
      <c r="B56">
        <v>8</v>
      </c>
      <c r="C56">
        <v>76</v>
      </c>
      <c r="D56" t="s">
        <v>5</v>
      </c>
      <c r="E56">
        <f t="shared" si="1"/>
        <v>2.1929824561403508E-2</v>
      </c>
      <c r="F56">
        <f>GEOMEAN(E55:E56)</f>
        <v>2.1546873736126369E-2</v>
      </c>
    </row>
    <row r="57" spans="1:6" x14ac:dyDescent="0.35">
      <c r="A57">
        <v>24</v>
      </c>
      <c r="B57">
        <v>33</v>
      </c>
      <c r="C57">
        <v>17</v>
      </c>
      <c r="D57" t="s">
        <v>5</v>
      </c>
      <c r="E57">
        <f t="shared" si="1"/>
        <v>2.2058823529411766E-2</v>
      </c>
    </row>
    <row r="58" spans="1:6" x14ac:dyDescent="0.35">
      <c r="A58">
        <v>7</v>
      </c>
      <c r="B58">
        <v>21</v>
      </c>
      <c r="C58">
        <v>81</v>
      </c>
      <c r="D58" t="s">
        <v>5</v>
      </c>
      <c r="E58">
        <f t="shared" si="1"/>
        <v>2.4691358024691357E-2</v>
      </c>
    </row>
    <row r="59" spans="1:6" x14ac:dyDescent="0.35">
      <c r="A59">
        <v>20</v>
      </c>
      <c r="B59">
        <v>29</v>
      </c>
      <c r="C59">
        <v>18</v>
      </c>
      <c r="D59" t="s">
        <v>4</v>
      </c>
      <c r="E59">
        <f t="shared" si="1"/>
        <v>2.4999999999999998E-2</v>
      </c>
      <c r="F59">
        <f t="shared" ref="F59:F65" si="2">GEOMEAN(E58:E59)</f>
        <v>2.484519974999766E-2</v>
      </c>
    </row>
    <row r="60" spans="1:6" x14ac:dyDescent="0.35">
      <c r="A60">
        <v>3</v>
      </c>
      <c r="B60">
        <v>9</v>
      </c>
      <c r="C60">
        <v>80</v>
      </c>
      <c r="D60" t="s">
        <v>5</v>
      </c>
      <c r="E60">
        <f t="shared" si="1"/>
        <v>2.5000000000000001E-2</v>
      </c>
      <c r="F60">
        <f t="shared" si="2"/>
        <v>2.5000000000000001E-2</v>
      </c>
    </row>
    <row r="61" spans="1:6" x14ac:dyDescent="0.35">
      <c r="A61">
        <v>22</v>
      </c>
      <c r="B61">
        <v>33</v>
      </c>
      <c r="C61">
        <v>20</v>
      </c>
      <c r="D61" t="s">
        <v>4</v>
      </c>
      <c r="E61">
        <f t="shared" si="1"/>
        <v>2.5000000000000001E-2</v>
      </c>
      <c r="F61">
        <f t="shared" si="2"/>
        <v>2.5000000000000001E-2</v>
      </c>
    </row>
    <row r="62" spans="1:6" x14ac:dyDescent="0.35">
      <c r="A62">
        <v>7</v>
      </c>
      <c r="B62">
        <v>12</v>
      </c>
      <c r="C62">
        <v>26</v>
      </c>
      <c r="D62" t="s">
        <v>5</v>
      </c>
      <c r="E62">
        <f t="shared" si="1"/>
        <v>2.7472527472527469E-2</v>
      </c>
      <c r="F62">
        <f t="shared" si="2"/>
        <v>2.6207120918047958E-2</v>
      </c>
    </row>
    <row r="63" spans="1:6" x14ac:dyDescent="0.35">
      <c r="A63">
        <v>20</v>
      </c>
      <c r="B63">
        <v>43</v>
      </c>
      <c r="C63">
        <v>41</v>
      </c>
      <c r="D63" t="s">
        <v>4</v>
      </c>
      <c r="E63">
        <f t="shared" si="1"/>
        <v>2.8048780487804875E-2</v>
      </c>
      <c r="F63">
        <f t="shared" si="2"/>
        <v>2.7759158714235413E-2</v>
      </c>
    </row>
    <row r="64" spans="1:6" x14ac:dyDescent="0.35">
      <c r="A64">
        <v>6</v>
      </c>
      <c r="B64">
        <v>18</v>
      </c>
      <c r="C64">
        <v>69</v>
      </c>
      <c r="D64" t="s">
        <v>5</v>
      </c>
      <c r="E64">
        <f t="shared" si="1"/>
        <v>2.8985507246376812E-2</v>
      </c>
      <c r="F64">
        <f t="shared" si="2"/>
        <v>2.8513297425610051E-2</v>
      </c>
    </row>
    <row r="65" spans="1:6" x14ac:dyDescent="0.35">
      <c r="A65">
        <v>8</v>
      </c>
      <c r="B65">
        <v>17</v>
      </c>
      <c r="C65">
        <v>38</v>
      </c>
      <c r="D65" t="s">
        <v>4</v>
      </c>
      <c r="E65">
        <f t="shared" si="1"/>
        <v>2.9605263157894735E-2</v>
      </c>
      <c r="F65">
        <f t="shared" si="2"/>
        <v>2.9293746257419012E-2</v>
      </c>
    </row>
    <row r="66" spans="1:6" x14ac:dyDescent="0.35">
      <c r="A66">
        <v>8</v>
      </c>
      <c r="B66">
        <v>24</v>
      </c>
      <c r="C66">
        <v>67</v>
      </c>
      <c r="D66" t="s">
        <v>4</v>
      </c>
      <c r="E66">
        <f t="shared" ref="E66:E101" si="3">((B66/A66)-1)/C66</f>
        <v>2.9850746268656716E-2</v>
      </c>
    </row>
    <row r="67" spans="1:6" x14ac:dyDescent="0.35">
      <c r="A67">
        <v>7</v>
      </c>
      <c r="B67">
        <v>16</v>
      </c>
      <c r="C67">
        <v>43</v>
      </c>
      <c r="D67" t="s">
        <v>4</v>
      </c>
      <c r="E67">
        <f t="shared" si="3"/>
        <v>2.9900332225913619E-2</v>
      </c>
    </row>
    <row r="68" spans="1:6" x14ac:dyDescent="0.35">
      <c r="A68">
        <v>12</v>
      </c>
      <c r="B68">
        <v>25</v>
      </c>
      <c r="C68">
        <v>36</v>
      </c>
      <c r="D68" t="s">
        <v>4</v>
      </c>
      <c r="E68">
        <f t="shared" si="3"/>
        <v>3.0092592592592598E-2</v>
      </c>
    </row>
    <row r="69" spans="1:6" x14ac:dyDescent="0.35">
      <c r="A69">
        <v>10</v>
      </c>
      <c r="B69">
        <v>30</v>
      </c>
      <c r="C69">
        <v>66</v>
      </c>
      <c r="D69" t="s">
        <v>5</v>
      </c>
      <c r="E69">
        <f t="shared" si="3"/>
        <v>3.0303030303030304E-2</v>
      </c>
      <c r="F69">
        <f>GEOMEAN(E68:E69)</f>
        <v>3.0197628139144946E-2</v>
      </c>
    </row>
    <row r="70" spans="1:6" x14ac:dyDescent="0.35">
      <c r="A70">
        <v>30</v>
      </c>
      <c r="B70">
        <v>49</v>
      </c>
      <c r="C70">
        <v>20</v>
      </c>
      <c r="D70" t="s">
        <v>5</v>
      </c>
      <c r="E70">
        <f t="shared" si="3"/>
        <v>3.1666666666666662E-2</v>
      </c>
    </row>
    <row r="71" spans="1:6" x14ac:dyDescent="0.35">
      <c r="A71">
        <v>5</v>
      </c>
      <c r="B71">
        <v>15</v>
      </c>
      <c r="C71">
        <v>59</v>
      </c>
      <c r="D71" t="s">
        <v>5</v>
      </c>
      <c r="E71">
        <f t="shared" si="3"/>
        <v>3.3898305084745763E-2</v>
      </c>
    </row>
    <row r="72" spans="1:6" x14ac:dyDescent="0.35">
      <c r="A72">
        <v>18</v>
      </c>
      <c r="B72">
        <v>34</v>
      </c>
      <c r="C72">
        <v>26</v>
      </c>
      <c r="D72" t="s">
        <v>5</v>
      </c>
      <c r="E72">
        <f t="shared" si="3"/>
        <v>3.4188034188034185E-2</v>
      </c>
    </row>
    <row r="73" spans="1:6" x14ac:dyDescent="0.35">
      <c r="A73">
        <v>5</v>
      </c>
      <c r="B73">
        <v>14</v>
      </c>
      <c r="C73">
        <v>50</v>
      </c>
      <c r="D73" t="s">
        <v>5</v>
      </c>
      <c r="E73">
        <f t="shared" si="3"/>
        <v>3.5999999999999997E-2</v>
      </c>
    </row>
    <row r="74" spans="1:6" x14ac:dyDescent="0.35">
      <c r="A74">
        <v>20</v>
      </c>
      <c r="B74">
        <v>39</v>
      </c>
      <c r="C74">
        <v>24</v>
      </c>
      <c r="D74" t="s">
        <v>4</v>
      </c>
      <c r="E74">
        <f t="shared" si="3"/>
        <v>3.9583333333333331E-2</v>
      </c>
      <c r="F74">
        <f t="shared" ref="F74:F80" si="4">GEOMEAN(E73:E74)</f>
        <v>3.7749172176353749E-2</v>
      </c>
    </row>
    <row r="75" spans="1:6" x14ac:dyDescent="0.35">
      <c r="A75">
        <v>8</v>
      </c>
      <c r="B75">
        <v>24</v>
      </c>
      <c r="C75">
        <v>49</v>
      </c>
      <c r="D75" t="s">
        <v>5</v>
      </c>
      <c r="E75">
        <f t="shared" si="3"/>
        <v>4.0816326530612242E-2</v>
      </c>
      <c r="F75">
        <f t="shared" si="4"/>
        <v>4.0195102419366975E-2</v>
      </c>
    </row>
    <row r="76" spans="1:6" x14ac:dyDescent="0.35">
      <c r="A76">
        <v>6</v>
      </c>
      <c r="B76">
        <v>18</v>
      </c>
      <c r="C76">
        <v>45</v>
      </c>
      <c r="D76" t="s">
        <v>4</v>
      </c>
      <c r="E76">
        <f t="shared" si="3"/>
        <v>4.4444444444444446E-2</v>
      </c>
      <c r="F76">
        <f t="shared" si="4"/>
        <v>4.259177099999599E-2</v>
      </c>
    </row>
    <row r="77" spans="1:6" x14ac:dyDescent="0.35">
      <c r="A77">
        <v>27</v>
      </c>
      <c r="B77">
        <v>44</v>
      </c>
      <c r="C77">
        <v>14</v>
      </c>
      <c r="D77" t="s">
        <v>5</v>
      </c>
      <c r="E77">
        <f t="shared" si="3"/>
        <v>4.4973544973544964E-2</v>
      </c>
      <c r="F77">
        <f t="shared" si="4"/>
        <v>4.4708212009053137E-2</v>
      </c>
    </row>
    <row r="78" spans="1:6" x14ac:dyDescent="0.35">
      <c r="A78">
        <v>8</v>
      </c>
      <c r="B78">
        <v>24</v>
      </c>
      <c r="C78">
        <v>42</v>
      </c>
      <c r="D78" t="s">
        <v>4</v>
      </c>
      <c r="E78">
        <f t="shared" si="3"/>
        <v>4.7619047619047616E-2</v>
      </c>
      <c r="F78">
        <f t="shared" si="4"/>
        <v>4.6277395990835711E-2</v>
      </c>
    </row>
    <row r="79" spans="1:6" x14ac:dyDescent="0.35">
      <c r="A79">
        <v>3</v>
      </c>
      <c r="B79">
        <v>9</v>
      </c>
      <c r="C79">
        <v>38</v>
      </c>
      <c r="D79" t="s">
        <v>5</v>
      </c>
      <c r="E79">
        <f t="shared" si="3"/>
        <v>5.2631578947368418E-2</v>
      </c>
      <c r="F79">
        <f t="shared" si="4"/>
        <v>5.0062617432175882E-2</v>
      </c>
    </row>
    <row r="80" spans="1:6" x14ac:dyDescent="0.35">
      <c r="A80">
        <v>14</v>
      </c>
      <c r="B80">
        <v>31</v>
      </c>
      <c r="C80">
        <v>23</v>
      </c>
      <c r="D80" t="s">
        <v>4</v>
      </c>
      <c r="E80">
        <f t="shared" si="3"/>
        <v>5.2795031055900624E-2</v>
      </c>
      <c r="F80">
        <f t="shared" si="4"/>
        <v>5.2713241648066012E-2</v>
      </c>
    </row>
    <row r="81" spans="1:6" x14ac:dyDescent="0.35">
      <c r="A81">
        <v>8</v>
      </c>
      <c r="B81">
        <v>19</v>
      </c>
      <c r="C81">
        <v>25</v>
      </c>
      <c r="D81" t="s">
        <v>4</v>
      </c>
      <c r="E81">
        <f t="shared" si="3"/>
        <v>5.5E-2</v>
      </c>
    </row>
    <row r="82" spans="1:6" x14ac:dyDescent="0.35">
      <c r="A82">
        <v>12</v>
      </c>
      <c r="B82">
        <v>34</v>
      </c>
      <c r="C82">
        <v>30</v>
      </c>
      <c r="D82" t="s">
        <v>5</v>
      </c>
      <c r="E82">
        <f t="shared" si="3"/>
        <v>6.1111111111111116E-2</v>
      </c>
      <c r="F82">
        <f>GEOMEAN(E81:E82)</f>
        <v>5.7975090436420289E-2</v>
      </c>
    </row>
    <row r="83" spans="1:6" x14ac:dyDescent="0.35">
      <c r="A83">
        <v>7</v>
      </c>
      <c r="B83">
        <v>20</v>
      </c>
      <c r="C83">
        <v>30</v>
      </c>
      <c r="D83" t="s">
        <v>4</v>
      </c>
      <c r="E83">
        <f t="shared" si="3"/>
        <v>6.1904761904761907E-2</v>
      </c>
      <c r="F83">
        <f>GEOMEAN(E82:E83)</f>
        <v>6.150665641269068E-2</v>
      </c>
    </row>
    <row r="84" spans="1:6" x14ac:dyDescent="0.35">
      <c r="A84">
        <v>6</v>
      </c>
      <c r="B84">
        <v>18</v>
      </c>
      <c r="C84">
        <v>31</v>
      </c>
      <c r="D84" t="s">
        <v>4</v>
      </c>
      <c r="E84">
        <f t="shared" si="3"/>
        <v>6.4516129032258063E-2</v>
      </c>
    </row>
    <row r="85" spans="1:6" x14ac:dyDescent="0.35">
      <c r="A85">
        <v>20</v>
      </c>
      <c r="B85">
        <v>35</v>
      </c>
      <c r="C85">
        <v>10</v>
      </c>
      <c r="D85" t="s">
        <v>4</v>
      </c>
      <c r="E85">
        <f t="shared" si="3"/>
        <v>7.4999999999999997E-2</v>
      </c>
    </row>
    <row r="86" spans="1:6" x14ac:dyDescent="0.35">
      <c r="A86">
        <v>16</v>
      </c>
      <c r="B86">
        <v>40</v>
      </c>
      <c r="C86">
        <v>19</v>
      </c>
      <c r="D86" t="s">
        <v>4</v>
      </c>
      <c r="E86">
        <f t="shared" si="3"/>
        <v>7.8947368421052627E-2</v>
      </c>
    </row>
    <row r="87" spans="1:6" x14ac:dyDescent="0.35">
      <c r="A87">
        <v>3</v>
      </c>
      <c r="B87">
        <v>9</v>
      </c>
      <c r="C87">
        <v>25</v>
      </c>
      <c r="D87" t="s">
        <v>5</v>
      </c>
      <c r="E87">
        <f t="shared" si="3"/>
        <v>0.08</v>
      </c>
      <c r="F87">
        <f>GEOMEAN(E86:E87)</f>
        <v>7.9471941423902626E-2</v>
      </c>
    </row>
    <row r="88" spans="1:6" x14ac:dyDescent="0.35">
      <c r="A88">
        <v>22</v>
      </c>
      <c r="B88">
        <v>47</v>
      </c>
      <c r="C88">
        <v>13</v>
      </c>
      <c r="D88" t="s">
        <v>5</v>
      </c>
      <c r="E88">
        <f t="shared" si="3"/>
        <v>8.7412587412587409E-2</v>
      </c>
    </row>
    <row r="89" spans="1:6" x14ac:dyDescent="0.35">
      <c r="A89">
        <v>22</v>
      </c>
      <c r="B89">
        <v>24</v>
      </c>
      <c r="C89">
        <v>1</v>
      </c>
      <c r="D89" t="s">
        <v>5</v>
      </c>
      <c r="E89">
        <f t="shared" si="3"/>
        <v>9.0909090909090828E-2</v>
      </c>
    </row>
    <row r="90" spans="1:6" x14ac:dyDescent="0.35">
      <c r="A90">
        <v>30</v>
      </c>
      <c r="B90">
        <v>55</v>
      </c>
      <c r="C90">
        <v>9</v>
      </c>
      <c r="D90" t="s">
        <v>5</v>
      </c>
      <c r="E90">
        <f t="shared" si="3"/>
        <v>9.2592592592592587E-2</v>
      </c>
    </row>
    <row r="91" spans="1:6" x14ac:dyDescent="0.35">
      <c r="A91">
        <v>10</v>
      </c>
      <c r="B91">
        <v>30</v>
      </c>
      <c r="C91">
        <v>21</v>
      </c>
      <c r="D91" t="s">
        <v>5</v>
      </c>
      <c r="E91">
        <f t="shared" si="3"/>
        <v>9.5238095238095233E-2</v>
      </c>
    </row>
    <row r="92" spans="1:6" x14ac:dyDescent="0.35">
      <c r="A92">
        <v>10</v>
      </c>
      <c r="B92">
        <v>30</v>
      </c>
      <c r="C92">
        <v>19</v>
      </c>
      <c r="D92" t="s">
        <v>5</v>
      </c>
      <c r="E92">
        <f t="shared" si="3"/>
        <v>0.10526315789473684</v>
      </c>
    </row>
    <row r="93" spans="1:6" x14ac:dyDescent="0.35">
      <c r="A93">
        <v>6</v>
      </c>
      <c r="B93">
        <v>18</v>
      </c>
      <c r="C93">
        <v>16</v>
      </c>
      <c r="D93" t="s">
        <v>5</v>
      </c>
      <c r="E93">
        <f t="shared" si="3"/>
        <v>0.125</v>
      </c>
    </row>
    <row r="94" spans="1:6" x14ac:dyDescent="0.35">
      <c r="A94">
        <v>14</v>
      </c>
      <c r="B94">
        <v>28</v>
      </c>
      <c r="C94">
        <v>7</v>
      </c>
      <c r="D94" t="s">
        <v>4</v>
      </c>
      <c r="E94">
        <f t="shared" si="3"/>
        <v>0.14285714285714285</v>
      </c>
      <c r="F94">
        <f>GEOMEAN(E93:E94)</f>
        <v>0.1336306209562122</v>
      </c>
    </row>
    <row r="95" spans="1:6" x14ac:dyDescent="0.35">
      <c r="A95">
        <v>6</v>
      </c>
      <c r="B95">
        <v>18</v>
      </c>
      <c r="C95">
        <v>12</v>
      </c>
      <c r="D95" t="s">
        <v>5</v>
      </c>
      <c r="E95">
        <f t="shared" si="3"/>
        <v>0.16666666666666666</v>
      </c>
      <c r="F95">
        <f>GEOMEAN(E94:E95)</f>
        <v>0.15430334996209191</v>
      </c>
    </row>
    <row r="96" spans="1:6" x14ac:dyDescent="0.35">
      <c r="A96">
        <v>9</v>
      </c>
      <c r="B96">
        <v>27</v>
      </c>
      <c r="C96">
        <v>8</v>
      </c>
      <c r="D96" t="s">
        <v>4</v>
      </c>
      <c r="E96">
        <f t="shared" si="3"/>
        <v>0.25</v>
      </c>
      <c r="F96">
        <f>GEOMEAN(E95:E96)</f>
        <v>0.20412414523193151</v>
      </c>
    </row>
    <row r="97" spans="1:6" x14ac:dyDescent="0.35">
      <c r="A97">
        <v>21</v>
      </c>
      <c r="B97">
        <v>44</v>
      </c>
      <c r="C97">
        <v>4</v>
      </c>
      <c r="D97" t="s">
        <v>5</v>
      </c>
      <c r="E97">
        <f t="shared" si="3"/>
        <v>0.27380952380952384</v>
      </c>
    </row>
    <row r="98" spans="1:6" x14ac:dyDescent="0.35">
      <c r="A98">
        <v>10</v>
      </c>
      <c r="B98">
        <v>30</v>
      </c>
      <c r="C98">
        <v>6</v>
      </c>
      <c r="D98" t="s">
        <v>5</v>
      </c>
      <c r="E98">
        <f t="shared" si="3"/>
        <v>0.33333333333333331</v>
      </c>
    </row>
    <row r="99" spans="1:6" x14ac:dyDescent="0.35">
      <c r="A99">
        <v>8</v>
      </c>
      <c r="B99">
        <v>24</v>
      </c>
      <c r="C99">
        <v>5</v>
      </c>
      <c r="D99" t="s">
        <v>5</v>
      </c>
      <c r="E99">
        <f t="shared" si="3"/>
        <v>0.4</v>
      </c>
    </row>
    <row r="100" spans="1:6" x14ac:dyDescent="0.35">
      <c r="A100">
        <v>11</v>
      </c>
      <c r="B100">
        <v>21</v>
      </c>
      <c r="C100">
        <v>2</v>
      </c>
      <c r="D100" t="s">
        <v>4</v>
      </c>
      <c r="E100">
        <f t="shared" si="3"/>
        <v>0.45454545454545459</v>
      </c>
      <c r="F100">
        <f>GEOMEAN(E99:E100)</f>
        <v>0.42640143271122088</v>
      </c>
    </row>
    <row r="101" spans="1:6" x14ac:dyDescent="0.35">
      <c r="A101">
        <v>12</v>
      </c>
      <c r="B101">
        <v>33</v>
      </c>
      <c r="C101">
        <v>1</v>
      </c>
      <c r="D101" t="s">
        <v>5</v>
      </c>
      <c r="E101">
        <f t="shared" si="3"/>
        <v>1.75</v>
      </c>
      <c r="F101">
        <f>GEOMEAN(E100:E101)</f>
        <v>0.89188258501584472</v>
      </c>
    </row>
    <row r="103" spans="1:6" x14ac:dyDescent="0.35">
      <c r="E103" s="1" t="s">
        <v>9</v>
      </c>
      <c r="F103" s="1">
        <f>AVERAGE(F2:F101)</f>
        <v>6.1150774508268432E-2</v>
      </c>
    </row>
  </sheetData>
  <sortState ref="A2:E101">
    <sortCondition ref="E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zoomScale="87" workbookViewId="0">
      <selection activeCell="F1" sqref="F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</row>
    <row r="2" spans="1:6" x14ac:dyDescent="0.35">
      <c r="A2">
        <v>11</v>
      </c>
      <c r="B2">
        <v>12</v>
      </c>
      <c r="C2">
        <v>89</v>
      </c>
      <c r="D2" t="s">
        <v>4</v>
      </c>
      <c r="E2">
        <f t="shared" ref="E2:E33" si="0">((B2/A2)-1)/C2</f>
        <v>1.021450459652706E-3</v>
      </c>
    </row>
    <row r="3" spans="1:6" x14ac:dyDescent="0.35">
      <c r="A3">
        <v>24</v>
      </c>
      <c r="B3">
        <v>25</v>
      </c>
      <c r="C3">
        <v>39</v>
      </c>
      <c r="D3" t="s">
        <v>4</v>
      </c>
      <c r="E3">
        <f t="shared" si="0"/>
        <v>1.0683760683760702E-3</v>
      </c>
    </row>
    <row r="4" spans="1:6" x14ac:dyDescent="0.35">
      <c r="A4">
        <v>24</v>
      </c>
      <c r="B4">
        <v>26</v>
      </c>
      <c r="C4">
        <v>68</v>
      </c>
      <c r="D4" t="s">
        <v>4</v>
      </c>
      <c r="E4">
        <f t="shared" si="0"/>
        <v>1.2254901960784303E-3</v>
      </c>
    </row>
    <row r="5" spans="1:6" x14ac:dyDescent="0.35">
      <c r="A5">
        <v>23</v>
      </c>
      <c r="B5">
        <v>25</v>
      </c>
      <c r="C5">
        <v>61</v>
      </c>
      <c r="D5" t="s">
        <v>5</v>
      </c>
      <c r="E5">
        <f t="shared" si="0"/>
        <v>1.4255167498218094E-3</v>
      </c>
      <c r="F5">
        <f>GEOMEAN(E4:E5)</f>
        <v>1.3217249340359044E-3</v>
      </c>
    </row>
    <row r="6" spans="1:6" x14ac:dyDescent="0.35">
      <c r="A6">
        <v>10</v>
      </c>
      <c r="B6">
        <v>11</v>
      </c>
      <c r="C6">
        <v>46</v>
      </c>
      <c r="D6" t="s">
        <v>4</v>
      </c>
      <c r="E6">
        <f t="shared" si="0"/>
        <v>2.1739130434782626E-3</v>
      </c>
    </row>
    <row r="7" spans="1:6" x14ac:dyDescent="0.35">
      <c r="A7">
        <v>20</v>
      </c>
      <c r="B7">
        <v>23</v>
      </c>
      <c r="C7">
        <v>62</v>
      </c>
      <c r="D7" t="s">
        <v>5</v>
      </c>
      <c r="E7">
        <f t="shared" si="0"/>
        <v>2.4193548387096758E-3</v>
      </c>
      <c r="F7">
        <f>GEOMEAN(E6:E7)</f>
        <v>2.2933527946378449E-3</v>
      </c>
    </row>
    <row r="8" spans="1:6" x14ac:dyDescent="0.35">
      <c r="A8">
        <v>29</v>
      </c>
      <c r="B8">
        <v>33</v>
      </c>
      <c r="C8">
        <v>54</v>
      </c>
      <c r="D8" t="s">
        <v>4</v>
      </c>
      <c r="E8">
        <f t="shared" si="0"/>
        <v>2.5542784163473829E-3</v>
      </c>
    </row>
    <row r="9" spans="1:6" x14ac:dyDescent="0.35">
      <c r="A9">
        <v>15</v>
      </c>
      <c r="B9">
        <v>19</v>
      </c>
      <c r="C9">
        <v>83</v>
      </c>
      <c r="D9" t="s">
        <v>4</v>
      </c>
      <c r="E9">
        <f t="shared" si="0"/>
        <v>3.2128514056224892E-3</v>
      </c>
    </row>
    <row r="10" spans="1:6" x14ac:dyDescent="0.35">
      <c r="A10">
        <v>21</v>
      </c>
      <c r="B10">
        <v>25</v>
      </c>
      <c r="C10">
        <v>58</v>
      </c>
      <c r="D10" t="s">
        <v>4</v>
      </c>
      <c r="E10">
        <f t="shared" si="0"/>
        <v>3.2840722495894909E-3</v>
      </c>
    </row>
    <row r="11" spans="1:6" x14ac:dyDescent="0.35">
      <c r="A11">
        <v>20</v>
      </c>
      <c r="B11">
        <v>25</v>
      </c>
      <c r="C11">
        <v>72</v>
      </c>
      <c r="D11" t="s">
        <v>5</v>
      </c>
      <c r="E11">
        <f t="shared" si="0"/>
        <v>3.472222222222222E-3</v>
      </c>
      <c r="F11">
        <f>GEOMEAN(E10:E11)</f>
        <v>3.3768370769712824E-3</v>
      </c>
    </row>
    <row r="12" spans="1:6" x14ac:dyDescent="0.35">
      <c r="A12">
        <v>10</v>
      </c>
      <c r="B12">
        <v>12</v>
      </c>
      <c r="C12">
        <v>55</v>
      </c>
      <c r="D12" t="s">
        <v>4</v>
      </c>
      <c r="E12">
        <f t="shared" si="0"/>
        <v>3.6363636363636355E-3</v>
      </c>
    </row>
    <row r="13" spans="1:6" x14ac:dyDescent="0.35">
      <c r="A13">
        <v>16</v>
      </c>
      <c r="B13">
        <v>18</v>
      </c>
      <c r="C13">
        <v>29</v>
      </c>
      <c r="D13" t="s">
        <v>5</v>
      </c>
      <c r="E13">
        <f t="shared" si="0"/>
        <v>4.3103448275862068E-3</v>
      </c>
      <c r="F13">
        <f>GEOMEAN(E12:E13)</f>
        <v>3.9590379123244784E-3</v>
      </c>
    </row>
    <row r="14" spans="1:6" x14ac:dyDescent="0.35">
      <c r="A14">
        <v>23</v>
      </c>
      <c r="B14">
        <v>31</v>
      </c>
      <c r="C14">
        <v>78</v>
      </c>
      <c r="D14" t="s">
        <v>5</v>
      </c>
      <c r="E14">
        <f t="shared" si="0"/>
        <v>4.459308807134894E-3</v>
      </c>
    </row>
    <row r="15" spans="1:6" x14ac:dyDescent="0.35">
      <c r="A15">
        <v>7</v>
      </c>
      <c r="B15">
        <v>10</v>
      </c>
      <c r="C15">
        <v>89</v>
      </c>
      <c r="D15" t="s">
        <v>4</v>
      </c>
      <c r="E15">
        <f t="shared" si="0"/>
        <v>4.8154093097913329E-3</v>
      </c>
      <c r="F15">
        <f>GEOMEAN(E14:E15)</f>
        <v>4.6339397002023944E-3</v>
      </c>
    </row>
    <row r="16" spans="1:6" x14ac:dyDescent="0.35">
      <c r="A16">
        <v>14</v>
      </c>
      <c r="B16">
        <v>17</v>
      </c>
      <c r="C16">
        <v>43</v>
      </c>
      <c r="D16" t="s">
        <v>4</v>
      </c>
      <c r="E16">
        <f t="shared" si="0"/>
        <v>4.9833887043189348E-3</v>
      </c>
    </row>
    <row r="17" spans="1:6" x14ac:dyDescent="0.35">
      <c r="A17">
        <v>25</v>
      </c>
      <c r="B17">
        <v>32</v>
      </c>
      <c r="C17">
        <v>56</v>
      </c>
      <c r="D17" t="s">
        <v>4</v>
      </c>
      <c r="E17">
        <f t="shared" si="0"/>
        <v>5.0000000000000001E-3</v>
      </c>
    </row>
    <row r="18" spans="1:6" x14ac:dyDescent="0.35">
      <c r="A18">
        <v>29</v>
      </c>
      <c r="B18">
        <v>40</v>
      </c>
      <c r="C18">
        <v>71</v>
      </c>
      <c r="D18" t="s">
        <v>5</v>
      </c>
      <c r="E18">
        <f t="shared" si="0"/>
        <v>5.3423992229237509E-3</v>
      </c>
      <c r="F18">
        <f>GEOMEAN(E17:E18)</f>
        <v>5.1683649362848551E-3</v>
      </c>
    </row>
    <row r="19" spans="1:6" x14ac:dyDescent="0.35">
      <c r="A19">
        <v>9</v>
      </c>
      <c r="B19">
        <v>14</v>
      </c>
      <c r="C19">
        <v>88</v>
      </c>
      <c r="D19" t="s">
        <v>4</v>
      </c>
      <c r="E19">
        <f t="shared" si="0"/>
        <v>6.313131313131313E-3</v>
      </c>
    </row>
    <row r="20" spans="1:6" x14ac:dyDescent="0.35">
      <c r="A20">
        <v>22</v>
      </c>
      <c r="B20">
        <v>34</v>
      </c>
      <c r="C20">
        <v>80</v>
      </c>
      <c r="D20" t="s">
        <v>5</v>
      </c>
      <c r="E20">
        <f t="shared" si="0"/>
        <v>6.8181818181818179E-3</v>
      </c>
      <c r="F20">
        <f>GEOMEAN(E19:E20)</f>
        <v>6.5607985135184739E-3</v>
      </c>
    </row>
    <row r="21" spans="1:6" x14ac:dyDescent="0.35">
      <c r="A21">
        <v>20</v>
      </c>
      <c r="B21">
        <v>32</v>
      </c>
      <c r="C21">
        <v>86</v>
      </c>
      <c r="D21" t="s">
        <v>4</v>
      </c>
      <c r="E21">
        <f t="shared" si="0"/>
        <v>6.9767441860465124E-3</v>
      </c>
    </row>
    <row r="22" spans="1:6" x14ac:dyDescent="0.35">
      <c r="A22">
        <v>21</v>
      </c>
      <c r="B22">
        <v>29</v>
      </c>
      <c r="C22">
        <v>53</v>
      </c>
      <c r="D22" t="s">
        <v>4</v>
      </c>
      <c r="E22">
        <f t="shared" si="0"/>
        <v>7.1877807726864326E-3</v>
      </c>
    </row>
    <row r="23" spans="1:6" x14ac:dyDescent="0.35">
      <c r="A23">
        <v>27</v>
      </c>
      <c r="B23">
        <v>34</v>
      </c>
      <c r="C23">
        <v>32</v>
      </c>
      <c r="D23" t="s">
        <v>4</v>
      </c>
      <c r="E23">
        <f t="shared" si="0"/>
        <v>8.1018518518518531E-3</v>
      </c>
    </row>
    <row r="24" spans="1:6" x14ac:dyDescent="0.35">
      <c r="A24">
        <v>19</v>
      </c>
      <c r="B24">
        <v>32</v>
      </c>
      <c r="C24">
        <v>82</v>
      </c>
      <c r="D24" t="s">
        <v>5</v>
      </c>
      <c r="E24">
        <f t="shared" si="0"/>
        <v>8.344030808729138E-3</v>
      </c>
      <c r="F24">
        <f>GEOMEAN(E23:E24)</f>
        <v>8.2220497115750319E-3</v>
      </c>
    </row>
    <row r="25" spans="1:6" x14ac:dyDescent="0.35">
      <c r="A25">
        <v>16</v>
      </c>
      <c r="B25">
        <v>27</v>
      </c>
      <c r="C25">
        <v>78</v>
      </c>
      <c r="D25" t="s">
        <v>5</v>
      </c>
      <c r="E25">
        <f t="shared" si="0"/>
        <v>8.814102564102564E-3</v>
      </c>
    </row>
    <row r="26" spans="1:6" x14ac:dyDescent="0.35">
      <c r="A26">
        <v>7</v>
      </c>
      <c r="B26">
        <v>11</v>
      </c>
      <c r="C26">
        <v>64</v>
      </c>
      <c r="D26" t="s">
        <v>4</v>
      </c>
      <c r="E26">
        <f t="shared" si="0"/>
        <v>8.9285714285714281E-3</v>
      </c>
      <c r="F26">
        <f>GEOMEAN(E25:E26)</f>
        <v>8.8711523672150017E-3</v>
      </c>
    </row>
    <row r="27" spans="1:6" x14ac:dyDescent="0.35">
      <c r="A27">
        <v>16</v>
      </c>
      <c r="B27">
        <v>27</v>
      </c>
      <c r="C27">
        <v>75</v>
      </c>
      <c r="D27" t="s">
        <v>5</v>
      </c>
      <c r="E27">
        <f t="shared" si="0"/>
        <v>9.1666666666666667E-3</v>
      </c>
    </row>
    <row r="28" spans="1:6" x14ac:dyDescent="0.35">
      <c r="A28">
        <v>22</v>
      </c>
      <c r="B28">
        <v>30</v>
      </c>
      <c r="C28">
        <v>39</v>
      </c>
      <c r="D28" t="s">
        <v>5</v>
      </c>
      <c r="E28">
        <f t="shared" si="0"/>
        <v>9.3240093240093223E-3</v>
      </c>
    </row>
    <row r="29" spans="1:6" x14ac:dyDescent="0.35">
      <c r="A29">
        <v>27</v>
      </c>
      <c r="B29">
        <v>51</v>
      </c>
      <c r="C29">
        <v>90</v>
      </c>
      <c r="D29" t="s">
        <v>5</v>
      </c>
      <c r="E29">
        <f t="shared" si="0"/>
        <v>9.876543209876543E-3</v>
      </c>
    </row>
    <row r="30" spans="1:6" x14ac:dyDescent="0.35">
      <c r="A30">
        <v>9</v>
      </c>
      <c r="B30">
        <v>16</v>
      </c>
      <c r="C30">
        <v>74</v>
      </c>
      <c r="D30" t="s">
        <v>5</v>
      </c>
      <c r="E30">
        <f t="shared" si="0"/>
        <v>1.051051051051051E-2</v>
      </c>
    </row>
    <row r="31" spans="1:6" x14ac:dyDescent="0.35">
      <c r="A31">
        <v>24</v>
      </c>
      <c r="B31">
        <v>28</v>
      </c>
      <c r="C31">
        <v>15</v>
      </c>
      <c r="D31" t="s">
        <v>4</v>
      </c>
      <c r="E31">
        <f t="shared" si="0"/>
        <v>1.1111111111111117E-2</v>
      </c>
      <c r="F31">
        <f>GEOMEAN(E30:E31)</f>
        <v>1.0806639168436388E-2</v>
      </c>
    </row>
    <row r="32" spans="1:6" x14ac:dyDescent="0.35">
      <c r="A32">
        <v>12</v>
      </c>
      <c r="B32">
        <v>23</v>
      </c>
      <c r="C32">
        <v>82</v>
      </c>
      <c r="D32" t="s">
        <v>5</v>
      </c>
      <c r="E32">
        <f t="shared" si="0"/>
        <v>1.1178861788617886E-2</v>
      </c>
    </row>
    <row r="33" spans="1:6" x14ac:dyDescent="0.35">
      <c r="A33">
        <v>6</v>
      </c>
      <c r="B33">
        <v>12</v>
      </c>
      <c r="C33">
        <v>87</v>
      </c>
      <c r="D33" t="s">
        <v>5</v>
      </c>
      <c r="E33">
        <f t="shared" si="0"/>
        <v>1.1494252873563218E-2</v>
      </c>
    </row>
    <row r="34" spans="1:6" x14ac:dyDescent="0.35">
      <c r="A34">
        <v>28</v>
      </c>
      <c r="B34">
        <v>49</v>
      </c>
      <c r="C34">
        <v>65</v>
      </c>
      <c r="D34" t="s">
        <v>5</v>
      </c>
      <c r="E34">
        <f t="shared" ref="E34:E65" si="1">((B34/A34)-1)/C34</f>
        <v>1.1538461538461539E-2</v>
      </c>
    </row>
    <row r="35" spans="1:6" x14ac:dyDescent="0.35">
      <c r="A35">
        <v>6</v>
      </c>
      <c r="B35">
        <v>8</v>
      </c>
      <c r="C35">
        <v>28</v>
      </c>
      <c r="D35" t="s">
        <v>4</v>
      </c>
      <c r="E35">
        <f t="shared" si="1"/>
        <v>1.1904761904761902E-2</v>
      </c>
      <c r="F35">
        <f>GEOMEAN(E34:E35)</f>
        <v>1.1720180773462385E-2</v>
      </c>
    </row>
    <row r="36" spans="1:6" x14ac:dyDescent="0.35">
      <c r="A36">
        <v>14</v>
      </c>
      <c r="B36">
        <v>22</v>
      </c>
      <c r="C36">
        <v>47</v>
      </c>
      <c r="D36" t="s">
        <v>5</v>
      </c>
      <c r="E36">
        <f t="shared" si="1"/>
        <v>1.2158054711246201E-2</v>
      </c>
    </row>
    <row r="37" spans="1:6" x14ac:dyDescent="0.35">
      <c r="A37">
        <v>10</v>
      </c>
      <c r="B37">
        <v>20</v>
      </c>
      <c r="C37">
        <v>81</v>
      </c>
      <c r="D37" t="s">
        <v>5</v>
      </c>
      <c r="E37">
        <f t="shared" si="1"/>
        <v>1.2345679012345678E-2</v>
      </c>
    </row>
    <row r="38" spans="1:6" x14ac:dyDescent="0.35">
      <c r="A38">
        <v>26</v>
      </c>
      <c r="B38">
        <v>49</v>
      </c>
      <c r="C38">
        <v>70</v>
      </c>
      <c r="D38" t="s">
        <v>5</v>
      </c>
      <c r="E38">
        <f t="shared" si="1"/>
        <v>1.2637362637362638E-2</v>
      </c>
    </row>
    <row r="39" spans="1:6" x14ac:dyDescent="0.35">
      <c r="A39">
        <v>26</v>
      </c>
      <c r="B39">
        <v>47</v>
      </c>
      <c r="C39">
        <v>63</v>
      </c>
      <c r="D39" t="s">
        <v>4</v>
      </c>
      <c r="E39">
        <f t="shared" si="1"/>
        <v>1.282051282051282E-2</v>
      </c>
      <c r="F39">
        <f>GEOMEAN(E38:E39)</f>
        <v>1.2728608317871102E-2</v>
      </c>
    </row>
    <row r="40" spans="1:6" x14ac:dyDescent="0.35">
      <c r="A40">
        <v>24</v>
      </c>
      <c r="B40">
        <v>40</v>
      </c>
      <c r="C40">
        <v>52</v>
      </c>
      <c r="D40" t="s">
        <v>4</v>
      </c>
      <c r="E40">
        <f t="shared" si="1"/>
        <v>1.2820512820512822E-2</v>
      </c>
    </row>
    <row r="41" spans="1:6" x14ac:dyDescent="0.35">
      <c r="A41">
        <v>7</v>
      </c>
      <c r="B41">
        <v>8</v>
      </c>
      <c r="C41">
        <v>11</v>
      </c>
      <c r="D41" t="s">
        <v>5</v>
      </c>
      <c r="E41">
        <f t="shared" si="1"/>
        <v>1.2987012987012981E-2</v>
      </c>
      <c r="F41">
        <f>GEOMEAN(E40:E41)</f>
        <v>1.2903494352312727E-2</v>
      </c>
    </row>
    <row r="42" spans="1:6" x14ac:dyDescent="0.35">
      <c r="A42">
        <v>30</v>
      </c>
      <c r="B42">
        <v>54</v>
      </c>
      <c r="C42">
        <v>57</v>
      </c>
      <c r="D42" t="s">
        <v>5</v>
      </c>
      <c r="E42">
        <f t="shared" si="1"/>
        <v>1.4035087719298246E-2</v>
      </c>
    </row>
    <row r="43" spans="1:6" x14ac:dyDescent="0.35">
      <c r="A43">
        <v>30</v>
      </c>
      <c r="B43">
        <v>52</v>
      </c>
      <c r="C43">
        <v>51</v>
      </c>
      <c r="D43" t="s">
        <v>4</v>
      </c>
      <c r="E43">
        <f t="shared" si="1"/>
        <v>1.4379084967320262E-2</v>
      </c>
      <c r="F43">
        <f>GEOMEAN(E42:E43)</f>
        <v>1.4206045151258059E-2</v>
      </c>
    </row>
    <row r="44" spans="1:6" x14ac:dyDescent="0.35">
      <c r="A44">
        <v>14</v>
      </c>
      <c r="B44">
        <v>31</v>
      </c>
      <c r="C44">
        <v>77</v>
      </c>
      <c r="D44" t="s">
        <v>4</v>
      </c>
      <c r="E44">
        <f t="shared" si="1"/>
        <v>1.5769944341372914E-2</v>
      </c>
    </row>
    <row r="45" spans="1:6" x14ac:dyDescent="0.35">
      <c r="A45">
        <v>19</v>
      </c>
      <c r="B45">
        <v>33</v>
      </c>
      <c r="C45">
        <v>46</v>
      </c>
      <c r="D45" t="s">
        <v>5</v>
      </c>
      <c r="E45">
        <f t="shared" si="1"/>
        <v>1.6018306636155607E-2</v>
      </c>
      <c r="F45">
        <f>GEOMEAN(E44:E45)</f>
        <v>1.5893640366360953E-2</v>
      </c>
    </row>
    <row r="46" spans="1:6" x14ac:dyDescent="0.35">
      <c r="A46">
        <v>17</v>
      </c>
      <c r="B46">
        <v>42</v>
      </c>
      <c r="C46">
        <v>84</v>
      </c>
      <c r="D46" t="s">
        <v>5</v>
      </c>
      <c r="E46">
        <f t="shared" si="1"/>
        <v>1.7507002801120448E-2</v>
      </c>
    </row>
    <row r="47" spans="1:6" x14ac:dyDescent="0.35">
      <c r="A47">
        <v>11</v>
      </c>
      <c r="B47">
        <v>26</v>
      </c>
      <c r="C47">
        <v>77</v>
      </c>
      <c r="D47" t="s">
        <v>5</v>
      </c>
      <c r="E47">
        <f t="shared" si="1"/>
        <v>1.770956316410862E-2</v>
      </c>
    </row>
    <row r="48" spans="1:6" x14ac:dyDescent="0.35">
      <c r="A48">
        <v>21</v>
      </c>
      <c r="B48">
        <v>35</v>
      </c>
      <c r="C48">
        <v>35</v>
      </c>
      <c r="D48" t="s">
        <v>5</v>
      </c>
      <c r="E48">
        <f t="shared" si="1"/>
        <v>1.9047619047619049E-2</v>
      </c>
    </row>
    <row r="49" spans="1:6" x14ac:dyDescent="0.35">
      <c r="A49">
        <v>26</v>
      </c>
      <c r="B49">
        <v>49</v>
      </c>
      <c r="C49">
        <v>46</v>
      </c>
      <c r="D49" t="s">
        <v>5</v>
      </c>
      <c r="E49">
        <f t="shared" si="1"/>
        <v>1.9230769230769228E-2</v>
      </c>
    </row>
    <row r="50" spans="1:6" x14ac:dyDescent="0.35">
      <c r="A50">
        <v>17</v>
      </c>
      <c r="B50">
        <v>37</v>
      </c>
      <c r="C50">
        <v>60</v>
      </c>
      <c r="D50" t="s">
        <v>4</v>
      </c>
      <c r="E50">
        <f t="shared" si="1"/>
        <v>1.9607843137254898E-2</v>
      </c>
      <c r="F50">
        <f>GEOMEAN(E49:E50)</f>
        <v>1.9418390934515431E-2</v>
      </c>
    </row>
    <row r="51" spans="1:6" x14ac:dyDescent="0.35">
      <c r="A51">
        <v>27</v>
      </c>
      <c r="B51">
        <v>47</v>
      </c>
      <c r="C51">
        <v>37</v>
      </c>
      <c r="D51" t="s">
        <v>4</v>
      </c>
      <c r="E51">
        <f t="shared" si="1"/>
        <v>2.002002002002002E-2</v>
      </c>
    </row>
    <row r="52" spans="1:6" x14ac:dyDescent="0.35">
      <c r="A52">
        <v>21</v>
      </c>
      <c r="B52">
        <v>35</v>
      </c>
      <c r="C52">
        <v>33</v>
      </c>
      <c r="D52" t="s">
        <v>5</v>
      </c>
      <c r="E52">
        <f t="shared" si="1"/>
        <v>2.0202020202020204E-2</v>
      </c>
      <c r="F52">
        <f>GEOMEAN(E51:E52)</f>
        <v>2.0110814227407438E-2</v>
      </c>
    </row>
    <row r="53" spans="1:6" x14ac:dyDescent="0.35">
      <c r="A53">
        <v>20</v>
      </c>
      <c r="B53">
        <v>29</v>
      </c>
      <c r="C53">
        <v>22</v>
      </c>
      <c r="D53" t="s">
        <v>5</v>
      </c>
      <c r="E53">
        <f t="shared" si="1"/>
        <v>2.0454545454545451E-2</v>
      </c>
    </row>
    <row r="54" spans="1:6" x14ac:dyDescent="0.35">
      <c r="A54">
        <v>5</v>
      </c>
      <c r="B54">
        <v>10</v>
      </c>
      <c r="C54">
        <v>48</v>
      </c>
      <c r="D54" t="s">
        <v>5</v>
      </c>
      <c r="E54">
        <f t="shared" si="1"/>
        <v>2.0833333333333332E-2</v>
      </c>
    </row>
    <row r="55" spans="1:6" x14ac:dyDescent="0.35">
      <c r="A55">
        <v>11</v>
      </c>
      <c r="B55">
        <v>28</v>
      </c>
      <c r="C55">
        <v>73</v>
      </c>
      <c r="D55" t="s">
        <v>5</v>
      </c>
      <c r="E55">
        <f t="shared" si="1"/>
        <v>2.11706102117061E-2</v>
      </c>
    </row>
    <row r="56" spans="1:6" x14ac:dyDescent="0.35">
      <c r="A56">
        <v>3</v>
      </c>
      <c r="B56">
        <v>8</v>
      </c>
      <c r="C56">
        <v>76</v>
      </c>
      <c r="D56" t="s">
        <v>5</v>
      </c>
      <c r="E56">
        <f t="shared" si="1"/>
        <v>2.1929824561403508E-2</v>
      </c>
    </row>
    <row r="57" spans="1:6" x14ac:dyDescent="0.35">
      <c r="A57">
        <v>24</v>
      </c>
      <c r="B57">
        <v>33</v>
      </c>
      <c r="C57">
        <v>17</v>
      </c>
      <c r="D57" t="s">
        <v>5</v>
      </c>
      <c r="E57">
        <f t="shared" si="1"/>
        <v>2.2058823529411766E-2</v>
      </c>
    </row>
    <row r="58" spans="1:6" x14ac:dyDescent="0.35">
      <c r="A58">
        <v>7</v>
      </c>
      <c r="B58">
        <v>21</v>
      </c>
      <c r="C58">
        <v>81</v>
      </c>
      <c r="D58" t="s">
        <v>4</v>
      </c>
      <c r="E58">
        <f t="shared" si="1"/>
        <v>2.4691358024691357E-2</v>
      </c>
      <c r="F58">
        <f>GEOMEAN(E57:E58)</f>
        <v>2.333800140046683E-2</v>
      </c>
    </row>
    <row r="59" spans="1:6" x14ac:dyDescent="0.35">
      <c r="A59">
        <v>20</v>
      </c>
      <c r="B59">
        <v>29</v>
      </c>
      <c r="C59">
        <v>18</v>
      </c>
      <c r="D59" t="s">
        <v>5</v>
      </c>
      <c r="E59">
        <f t="shared" si="1"/>
        <v>2.4999999999999998E-2</v>
      </c>
      <c r="F59">
        <f>GEOMEAN(E58:E59)</f>
        <v>2.484519974999766E-2</v>
      </c>
    </row>
    <row r="60" spans="1:6" x14ac:dyDescent="0.35">
      <c r="A60">
        <v>3</v>
      </c>
      <c r="B60">
        <v>9</v>
      </c>
      <c r="C60">
        <v>80</v>
      </c>
      <c r="D60" t="s">
        <v>5</v>
      </c>
      <c r="E60">
        <f t="shared" si="1"/>
        <v>2.5000000000000001E-2</v>
      </c>
    </row>
    <row r="61" spans="1:6" x14ac:dyDescent="0.35">
      <c r="A61">
        <v>22</v>
      </c>
      <c r="B61">
        <v>33</v>
      </c>
      <c r="C61">
        <v>20</v>
      </c>
      <c r="D61" t="s">
        <v>4</v>
      </c>
      <c r="E61">
        <f t="shared" si="1"/>
        <v>2.5000000000000001E-2</v>
      </c>
      <c r="F61">
        <f>GEOMEAN(E60:E61)</f>
        <v>2.5000000000000001E-2</v>
      </c>
    </row>
    <row r="62" spans="1:6" x14ac:dyDescent="0.35">
      <c r="A62">
        <v>7</v>
      </c>
      <c r="B62">
        <v>12</v>
      </c>
      <c r="C62">
        <v>26</v>
      </c>
      <c r="D62" t="s">
        <v>4</v>
      </c>
      <c r="E62">
        <f t="shared" si="1"/>
        <v>2.7472527472527469E-2</v>
      </c>
    </row>
    <row r="63" spans="1:6" x14ac:dyDescent="0.35">
      <c r="A63">
        <v>20</v>
      </c>
      <c r="B63">
        <v>43</v>
      </c>
      <c r="C63">
        <v>41</v>
      </c>
      <c r="D63" t="s">
        <v>4</v>
      </c>
      <c r="E63">
        <f t="shared" si="1"/>
        <v>2.8048780487804875E-2</v>
      </c>
    </row>
    <row r="64" spans="1:6" x14ac:dyDescent="0.35">
      <c r="A64">
        <v>6</v>
      </c>
      <c r="B64">
        <v>18</v>
      </c>
      <c r="C64">
        <v>69</v>
      </c>
      <c r="D64" t="s">
        <v>5</v>
      </c>
      <c r="E64">
        <f t="shared" si="1"/>
        <v>2.8985507246376812E-2</v>
      </c>
      <c r="F64">
        <f>GEOMEAN(E63:E64)</f>
        <v>2.8513297425610051E-2</v>
      </c>
    </row>
    <row r="65" spans="1:6" x14ac:dyDescent="0.35">
      <c r="A65">
        <v>8</v>
      </c>
      <c r="B65">
        <v>17</v>
      </c>
      <c r="C65">
        <v>38</v>
      </c>
      <c r="D65" t="s">
        <v>4</v>
      </c>
      <c r="E65">
        <f t="shared" si="1"/>
        <v>2.9605263157894735E-2</v>
      </c>
      <c r="F65">
        <f>GEOMEAN(E64:E65)</f>
        <v>2.9293746257419012E-2</v>
      </c>
    </row>
    <row r="66" spans="1:6" x14ac:dyDescent="0.35">
      <c r="A66">
        <v>8</v>
      </c>
      <c r="B66">
        <v>24</v>
      </c>
      <c r="C66">
        <v>67</v>
      </c>
      <c r="D66" t="s">
        <v>5</v>
      </c>
      <c r="E66">
        <f t="shared" ref="E66:E101" si="2">((B66/A66)-1)/C66</f>
        <v>2.9850746268656716E-2</v>
      </c>
      <c r="F66">
        <f>GEOMEAN(E65:E66)</f>
        <v>2.9727751323353174E-2</v>
      </c>
    </row>
    <row r="67" spans="1:6" x14ac:dyDescent="0.35">
      <c r="A67">
        <v>7</v>
      </c>
      <c r="B67">
        <v>16</v>
      </c>
      <c r="C67">
        <v>43</v>
      </c>
      <c r="D67" t="s">
        <v>4</v>
      </c>
      <c r="E67">
        <f t="shared" si="2"/>
        <v>2.9900332225913619E-2</v>
      </c>
      <c r="F67">
        <f t="shared" ref="F67:F71" si="3">GEOMEAN(E66:E67)</f>
        <v>2.9875528959740397E-2</v>
      </c>
    </row>
    <row r="68" spans="1:6" x14ac:dyDescent="0.35">
      <c r="A68">
        <v>12</v>
      </c>
      <c r="B68">
        <v>25</v>
      </c>
      <c r="C68">
        <v>36</v>
      </c>
      <c r="D68" t="s">
        <v>5</v>
      </c>
      <c r="E68">
        <f t="shared" si="2"/>
        <v>3.0092592592592598E-2</v>
      </c>
      <c r="F68">
        <f t="shared" si="3"/>
        <v>2.9996308373824703E-2</v>
      </c>
    </row>
    <row r="69" spans="1:6" x14ac:dyDescent="0.35">
      <c r="A69">
        <v>10</v>
      </c>
      <c r="B69">
        <v>30</v>
      </c>
      <c r="C69">
        <v>66</v>
      </c>
      <c r="D69" t="s">
        <v>4</v>
      </c>
      <c r="E69">
        <f t="shared" si="2"/>
        <v>3.0303030303030304E-2</v>
      </c>
      <c r="F69">
        <f t="shared" si="3"/>
        <v>3.0197628139144946E-2</v>
      </c>
    </row>
    <row r="70" spans="1:6" x14ac:dyDescent="0.35">
      <c r="A70">
        <v>30</v>
      </c>
      <c r="B70">
        <v>49</v>
      </c>
      <c r="C70">
        <v>20</v>
      </c>
      <c r="D70" t="s">
        <v>4</v>
      </c>
      <c r="E70">
        <f t="shared" si="2"/>
        <v>3.1666666666666662E-2</v>
      </c>
    </row>
    <row r="71" spans="1:6" x14ac:dyDescent="0.35">
      <c r="A71">
        <v>5</v>
      </c>
      <c r="B71">
        <v>15</v>
      </c>
      <c r="C71">
        <v>59</v>
      </c>
      <c r="D71" t="s">
        <v>5</v>
      </c>
      <c r="E71">
        <f t="shared" si="2"/>
        <v>3.3898305084745763E-2</v>
      </c>
      <c r="F71">
        <f t="shared" si="3"/>
        <v>3.276349077378074E-2</v>
      </c>
    </row>
    <row r="72" spans="1:6" x14ac:dyDescent="0.35">
      <c r="A72">
        <v>18</v>
      </c>
      <c r="B72">
        <v>34</v>
      </c>
      <c r="C72">
        <v>26</v>
      </c>
      <c r="D72" t="s">
        <v>5</v>
      </c>
      <c r="E72">
        <f t="shared" si="2"/>
        <v>3.4188034188034185E-2</v>
      </c>
    </row>
    <row r="73" spans="1:6" x14ac:dyDescent="0.35">
      <c r="A73">
        <v>5</v>
      </c>
      <c r="B73">
        <v>14</v>
      </c>
      <c r="C73">
        <v>50</v>
      </c>
      <c r="D73" t="s">
        <v>5</v>
      </c>
      <c r="E73">
        <f t="shared" si="2"/>
        <v>3.5999999999999997E-2</v>
      </c>
    </row>
    <row r="74" spans="1:6" x14ac:dyDescent="0.35">
      <c r="A74">
        <v>20</v>
      </c>
      <c r="B74">
        <v>39</v>
      </c>
      <c r="C74">
        <v>24</v>
      </c>
      <c r="D74" t="s">
        <v>4</v>
      </c>
      <c r="E74">
        <f t="shared" si="2"/>
        <v>3.9583333333333331E-2</v>
      </c>
      <c r="F74">
        <f t="shared" ref="F74" si="4">GEOMEAN(E73:E74)</f>
        <v>3.7749172176353749E-2</v>
      </c>
    </row>
    <row r="75" spans="1:6" x14ac:dyDescent="0.35">
      <c r="A75">
        <v>8</v>
      </c>
      <c r="B75">
        <v>24</v>
      </c>
      <c r="C75">
        <v>49</v>
      </c>
      <c r="D75" t="s">
        <v>4</v>
      </c>
      <c r="E75">
        <f t="shared" si="2"/>
        <v>4.0816326530612242E-2</v>
      </c>
    </row>
    <row r="76" spans="1:6" x14ac:dyDescent="0.35">
      <c r="A76">
        <v>6</v>
      </c>
      <c r="B76">
        <v>18</v>
      </c>
      <c r="C76">
        <v>45</v>
      </c>
      <c r="D76" t="s">
        <v>5</v>
      </c>
      <c r="E76">
        <f t="shared" si="2"/>
        <v>4.4444444444444446E-2</v>
      </c>
      <c r="F76">
        <f t="shared" ref="F76" si="5">GEOMEAN(E75:E76)</f>
        <v>4.259177099999599E-2</v>
      </c>
    </row>
    <row r="77" spans="1:6" x14ac:dyDescent="0.35">
      <c r="A77">
        <v>27</v>
      </c>
      <c r="B77">
        <v>44</v>
      </c>
      <c r="C77">
        <v>14</v>
      </c>
      <c r="D77" t="s">
        <v>5</v>
      </c>
      <c r="E77">
        <f t="shared" si="2"/>
        <v>4.4973544973544964E-2</v>
      </c>
    </row>
    <row r="78" spans="1:6" x14ac:dyDescent="0.35">
      <c r="A78">
        <v>8</v>
      </c>
      <c r="B78">
        <v>24</v>
      </c>
      <c r="C78">
        <v>42</v>
      </c>
      <c r="D78" t="s">
        <v>4</v>
      </c>
      <c r="E78">
        <f t="shared" si="2"/>
        <v>4.7619047619047616E-2</v>
      </c>
      <c r="F78">
        <f t="shared" ref="F78" si="6">GEOMEAN(E77:E78)</f>
        <v>4.6277395990835711E-2</v>
      </c>
    </row>
    <row r="79" spans="1:6" x14ac:dyDescent="0.35">
      <c r="A79">
        <v>3</v>
      </c>
      <c r="B79">
        <v>9</v>
      </c>
      <c r="C79">
        <v>38</v>
      </c>
      <c r="D79" t="s">
        <v>4</v>
      </c>
      <c r="E79">
        <f t="shared" si="2"/>
        <v>5.2631578947368418E-2</v>
      </c>
    </row>
    <row r="80" spans="1:6" x14ac:dyDescent="0.35">
      <c r="A80">
        <v>14</v>
      </c>
      <c r="B80">
        <v>31</v>
      </c>
      <c r="C80">
        <v>23</v>
      </c>
      <c r="D80" t="s">
        <v>4</v>
      </c>
      <c r="E80">
        <f t="shared" si="2"/>
        <v>5.2795031055900624E-2</v>
      </c>
    </row>
    <row r="81" spans="1:6" x14ac:dyDescent="0.35">
      <c r="A81">
        <v>8</v>
      </c>
      <c r="B81">
        <v>19</v>
      </c>
      <c r="C81">
        <v>25</v>
      </c>
      <c r="D81" t="s">
        <v>4</v>
      </c>
      <c r="E81">
        <f t="shared" si="2"/>
        <v>5.5E-2</v>
      </c>
    </row>
    <row r="82" spans="1:6" x14ac:dyDescent="0.35">
      <c r="A82">
        <v>12</v>
      </c>
      <c r="B82">
        <v>34</v>
      </c>
      <c r="C82">
        <v>30</v>
      </c>
      <c r="D82" t="s">
        <v>4</v>
      </c>
      <c r="E82">
        <f t="shared" si="2"/>
        <v>6.1111111111111116E-2</v>
      </c>
    </row>
    <row r="83" spans="1:6" x14ac:dyDescent="0.35">
      <c r="A83">
        <v>7</v>
      </c>
      <c r="B83">
        <v>20</v>
      </c>
      <c r="C83">
        <v>30</v>
      </c>
      <c r="D83" t="s">
        <v>4</v>
      </c>
      <c r="E83">
        <f t="shared" si="2"/>
        <v>6.1904761904761907E-2</v>
      </c>
    </row>
    <row r="84" spans="1:6" x14ac:dyDescent="0.35">
      <c r="A84">
        <v>6</v>
      </c>
      <c r="B84">
        <v>18</v>
      </c>
      <c r="C84">
        <v>31</v>
      </c>
      <c r="D84" t="s">
        <v>5</v>
      </c>
      <c r="E84">
        <f t="shared" si="2"/>
        <v>6.4516129032258063E-2</v>
      </c>
      <c r="F84">
        <f t="shared" ref="F84" si="7">GEOMEAN(E83:E84)</f>
        <v>6.3196958841061593E-2</v>
      </c>
    </row>
    <row r="85" spans="1:6" x14ac:dyDescent="0.35">
      <c r="A85">
        <v>20</v>
      </c>
      <c r="B85">
        <v>35</v>
      </c>
      <c r="C85">
        <v>10</v>
      </c>
      <c r="D85" t="s">
        <v>5</v>
      </c>
      <c r="E85">
        <f t="shared" si="2"/>
        <v>7.4999999999999997E-2</v>
      </c>
    </row>
    <row r="86" spans="1:6" x14ac:dyDescent="0.35">
      <c r="A86">
        <v>16</v>
      </c>
      <c r="B86">
        <v>40</v>
      </c>
      <c r="C86">
        <v>19</v>
      </c>
      <c r="D86" t="s">
        <v>4</v>
      </c>
      <c r="E86">
        <f t="shared" si="2"/>
        <v>7.8947368421052627E-2</v>
      </c>
      <c r="F86">
        <f t="shared" ref="F86" si="8">GEOMEAN(E85:E86)</f>
        <v>7.6948376406386548E-2</v>
      </c>
    </row>
    <row r="87" spans="1:6" x14ac:dyDescent="0.35">
      <c r="A87">
        <v>3</v>
      </c>
      <c r="B87">
        <v>9</v>
      </c>
      <c r="C87">
        <v>25</v>
      </c>
      <c r="D87" t="s">
        <v>5</v>
      </c>
      <c r="E87">
        <f t="shared" si="2"/>
        <v>0.08</v>
      </c>
    </row>
    <row r="88" spans="1:6" x14ac:dyDescent="0.35">
      <c r="A88">
        <v>22</v>
      </c>
      <c r="B88">
        <v>47</v>
      </c>
      <c r="C88">
        <v>13</v>
      </c>
      <c r="D88" t="s">
        <v>4</v>
      </c>
      <c r="E88">
        <f t="shared" si="2"/>
        <v>8.7412587412587409E-2</v>
      </c>
      <c r="F88">
        <f t="shared" ref="F88" si="9">GEOMEAN(E87:E88)</f>
        <v>8.3624201000709081E-2</v>
      </c>
    </row>
    <row r="89" spans="1:6" x14ac:dyDescent="0.35">
      <c r="A89">
        <v>22</v>
      </c>
      <c r="B89">
        <v>24</v>
      </c>
      <c r="C89">
        <v>1</v>
      </c>
      <c r="D89" t="s">
        <v>5</v>
      </c>
      <c r="E89">
        <f t="shared" si="2"/>
        <v>9.0909090909090828E-2</v>
      </c>
    </row>
    <row r="90" spans="1:6" x14ac:dyDescent="0.35">
      <c r="A90">
        <v>30</v>
      </c>
      <c r="B90">
        <v>55</v>
      </c>
      <c r="C90">
        <v>9</v>
      </c>
      <c r="D90" t="s">
        <v>5</v>
      </c>
      <c r="E90">
        <f t="shared" si="2"/>
        <v>9.2592592592592587E-2</v>
      </c>
    </row>
    <row r="91" spans="1:6" x14ac:dyDescent="0.35">
      <c r="A91">
        <v>10</v>
      </c>
      <c r="B91">
        <v>30</v>
      </c>
      <c r="C91">
        <v>21</v>
      </c>
      <c r="D91" t="s">
        <v>5</v>
      </c>
      <c r="E91">
        <f t="shared" si="2"/>
        <v>9.5238095238095233E-2</v>
      </c>
    </row>
    <row r="92" spans="1:6" x14ac:dyDescent="0.35">
      <c r="A92">
        <v>10</v>
      </c>
      <c r="B92">
        <v>30</v>
      </c>
      <c r="C92">
        <v>19</v>
      </c>
      <c r="D92" t="s">
        <v>5</v>
      </c>
      <c r="E92">
        <f t="shared" si="2"/>
        <v>0.10526315789473684</v>
      </c>
    </row>
    <row r="93" spans="1:6" x14ac:dyDescent="0.35">
      <c r="A93">
        <v>6</v>
      </c>
      <c r="B93">
        <v>18</v>
      </c>
      <c r="C93">
        <v>16</v>
      </c>
      <c r="D93" t="s">
        <v>4</v>
      </c>
      <c r="E93">
        <f t="shared" si="2"/>
        <v>0.125</v>
      </c>
      <c r="F93">
        <f t="shared" ref="F93" si="10">GEOMEAN(E92:E93)</f>
        <v>0.11470786693528089</v>
      </c>
    </row>
    <row r="94" spans="1:6" x14ac:dyDescent="0.35">
      <c r="A94">
        <v>14</v>
      </c>
      <c r="B94">
        <v>28</v>
      </c>
      <c r="C94">
        <v>7</v>
      </c>
      <c r="D94" t="s">
        <v>5</v>
      </c>
      <c r="E94">
        <f t="shared" si="2"/>
        <v>0.14285714285714285</v>
      </c>
    </row>
    <row r="95" spans="1:6" x14ac:dyDescent="0.35">
      <c r="A95">
        <v>6</v>
      </c>
      <c r="B95">
        <v>18</v>
      </c>
      <c r="C95">
        <v>12</v>
      </c>
      <c r="D95" t="s">
        <v>5</v>
      </c>
      <c r="E95">
        <f t="shared" si="2"/>
        <v>0.16666666666666666</v>
      </c>
    </row>
    <row r="96" spans="1:6" x14ac:dyDescent="0.35">
      <c r="A96">
        <v>9</v>
      </c>
      <c r="B96">
        <v>27</v>
      </c>
      <c r="C96">
        <v>8</v>
      </c>
      <c r="D96" t="s">
        <v>5</v>
      </c>
      <c r="E96">
        <f t="shared" si="2"/>
        <v>0.25</v>
      </c>
    </row>
    <row r="97" spans="1:6" x14ac:dyDescent="0.35">
      <c r="A97">
        <v>21</v>
      </c>
      <c r="B97">
        <v>44</v>
      </c>
      <c r="C97">
        <v>4</v>
      </c>
      <c r="D97" t="s">
        <v>5</v>
      </c>
      <c r="E97">
        <f t="shared" si="2"/>
        <v>0.27380952380952384</v>
      </c>
    </row>
    <row r="98" spans="1:6" x14ac:dyDescent="0.35">
      <c r="A98">
        <v>10</v>
      </c>
      <c r="B98">
        <v>30</v>
      </c>
      <c r="C98">
        <v>6</v>
      </c>
      <c r="D98" t="s">
        <v>5</v>
      </c>
      <c r="E98">
        <f t="shared" si="2"/>
        <v>0.33333333333333331</v>
      </c>
    </row>
    <row r="99" spans="1:6" x14ac:dyDescent="0.35">
      <c r="A99">
        <v>8</v>
      </c>
      <c r="B99">
        <v>24</v>
      </c>
      <c r="C99">
        <v>5</v>
      </c>
      <c r="D99" t="s">
        <v>5</v>
      </c>
      <c r="E99">
        <f t="shared" si="2"/>
        <v>0.4</v>
      </c>
    </row>
    <row r="100" spans="1:6" x14ac:dyDescent="0.35">
      <c r="A100">
        <v>11</v>
      </c>
      <c r="B100">
        <v>21</v>
      </c>
      <c r="C100">
        <v>2</v>
      </c>
      <c r="D100" t="s">
        <v>4</v>
      </c>
      <c r="E100">
        <f t="shared" si="2"/>
        <v>0.45454545454545459</v>
      </c>
      <c r="F100">
        <f t="shared" ref="F100" si="11">GEOMEAN(E99:E100)</f>
        <v>0.42640143271122088</v>
      </c>
    </row>
    <row r="101" spans="1:6" x14ac:dyDescent="0.35">
      <c r="A101">
        <v>12</v>
      </c>
      <c r="B101">
        <v>33</v>
      </c>
      <c r="C101">
        <v>1</v>
      </c>
      <c r="D101" t="s">
        <v>5</v>
      </c>
      <c r="E101">
        <f t="shared" si="2"/>
        <v>1.75</v>
      </c>
    </row>
    <row r="102" spans="1:6" x14ac:dyDescent="0.35">
      <c r="E102" s="1" t="s">
        <v>9</v>
      </c>
      <c r="F102" s="1">
        <f>AVERAGE(F2:F100)</f>
        <v>3.8206948534387768E-2</v>
      </c>
    </row>
  </sheetData>
  <sortState ref="A2:E101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parti_1</vt:lpstr>
      <vt:lpstr>parti_2</vt:lpstr>
      <vt:lpstr>parti_3</vt:lpstr>
      <vt:lpstr>parti_4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2025-10-30T04:45:51Z</dcterms:created>
  <dcterms:modified xsi:type="dcterms:W3CDTF">2025-11-06T14:19:46Z</dcterms:modified>
</cp:coreProperties>
</file>