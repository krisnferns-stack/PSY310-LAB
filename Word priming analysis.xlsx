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sy Lab\Word Priming\word priming excel\"/>
    </mc:Choice>
  </mc:AlternateContent>
  <bookViews>
    <workbookView xWindow="0" yWindow="0" windowWidth="9770" windowHeight="628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4" l="1"/>
  <c r="L24" i="4"/>
  <c r="L23" i="4"/>
  <c r="K25" i="3"/>
  <c r="L24" i="3"/>
  <c r="L23" i="3"/>
  <c r="K25" i="2"/>
  <c r="L24" i="2"/>
  <c r="L23" i="2"/>
  <c r="K26" i="1"/>
  <c r="L25" i="1"/>
  <c r="L24" i="1"/>
</calcChain>
</file>

<file path=xl/sharedStrings.xml><?xml version="1.0" encoding="utf-8"?>
<sst xmlns="http://schemas.openxmlformats.org/spreadsheetml/2006/main" count="2089" uniqueCount="242">
  <si>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</si>
  <si>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</si>
  <si>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</si>
  <si>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</si>
  <si>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</si>
  <si>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</si>
  <si>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</si>
  <si>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</si>
  <si>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</si>
  <si>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</si>
  <si>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</si>
  <si>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</si>
  <si>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</si>
  <si>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</si>
  <si>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</si>
  <si>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</si>
  <si>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</si>
  <si>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</si>
  <si>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</si>
  <si>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</si>
  <si>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</si>
  <si>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</si>
  <si>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</si>
  <si>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</si>
  <si>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</si>
  <si>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</si>
  <si>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</si>
  <si>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</si>
  <si>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</si>
  <si>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</si>
  <si>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</si>
  <si>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</si>
  <si>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</si>
  <si>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</si>
  <si>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</si>
  <si>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</si>
  <si>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</si>
  <si>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</si>
  <si>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</si>
  <si>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</si>
  <si>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</si>
  <si>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</si>
  <si>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</si>
  <si>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</si>
  <si>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</si>
  <si>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</si>
  <si>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</si>
  <si>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</si>
  <si>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</si>
  <si>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</si>
  <si>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</si>
  <si>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</si>
  <si>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</si>
  <si>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</si>
  <si>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</si>
  <si>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</si>
  <si>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</si>
  <si>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</si>
  <si>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</si>
  <si>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_ho_e</t>
  </si>
  <si>
    <t>phone</t>
  </si>
  <si>
    <t>old</t>
  </si>
  <si>
    <t>chore</t>
  </si>
  <si>
    <t>[np.float64(-0.025925925925925925)]</t>
  </si>
  <si>
    <t>[np.float64(-0.3)]</t>
  </si>
  <si>
    <t>[1]</t>
  </si>
  <si>
    <t>[0]</t>
  </si>
  <si>
    <t>[8.007617300005222]</t>
  </si>
  <si>
    <t>['text_3']</t>
  </si>
  <si>
    <t>2025-10-16_23h53.31.484</t>
  </si>
  <si>
    <t>priming_exp</t>
  </si>
  <si>
    <t>2025.1.1</t>
  </si>
  <si>
    <t>2025-10-16 23h53.36.904166 +0530</t>
  </si>
  <si>
    <t>l_pt_p</t>
  </si>
  <si>
    <t>laptop</t>
  </si>
  <si>
    <t>[4.3308572999958415]</t>
  </si>
  <si>
    <t>c_s_io_</t>
  </si>
  <si>
    <t>cushion</t>
  </si>
  <si>
    <t>[2.4477931000001263]</t>
  </si>
  <si>
    <t>v_s_</t>
  </si>
  <si>
    <t>vase</t>
  </si>
  <si>
    <t>new</t>
  </si>
  <si>
    <t>[2.964263399997435]</t>
  </si>
  <si>
    <t>t__shi_t</t>
  </si>
  <si>
    <t>tshirt</t>
  </si>
  <si>
    <t>t-shirt</t>
  </si>
  <si>
    <t>[3.046438900004432]</t>
  </si>
  <si>
    <t>_a_bl_</t>
  </si>
  <si>
    <t>marble</t>
  </si>
  <si>
    <t>[5.664683599999989]</t>
  </si>
  <si>
    <t>_ha_t</t>
  </si>
  <si>
    <t>chart</t>
  </si>
  <si>
    <t>[3.6478826999955345]</t>
  </si>
  <si>
    <t>ta_l_</t>
  </si>
  <si>
    <t>table</t>
  </si>
  <si>
    <t>[5.347603599999275]</t>
  </si>
  <si>
    <t>_oo_</t>
  </si>
  <si>
    <t>book</t>
  </si>
  <si>
    <t>[np.float64(-0.025)]</t>
  </si>
  <si>
    <t>[np.float64(-0.30092592592592593)]</t>
  </si>
  <si>
    <t>[5.730302099997061]</t>
  </si>
  <si>
    <t>_ru_se</t>
  </si>
  <si>
    <t>cruise</t>
  </si>
  <si>
    <t>[2.931143100002373]</t>
  </si>
  <si>
    <t>p_li_e</t>
  </si>
  <si>
    <t>police</t>
  </si>
  <si>
    <t>[np.float64(-0.022222222222222223)]</t>
  </si>
  <si>
    <t>[np.float64(-0.3148148148148148)]</t>
  </si>
  <si>
    <t>[4.948054699998465]</t>
  </si>
  <si>
    <t>bo_t_e</t>
  </si>
  <si>
    <t>bottle</t>
  </si>
  <si>
    <t>[4.8467879000018]</t>
  </si>
  <si>
    <t>k_y_</t>
  </si>
  <si>
    <t>keys</t>
  </si>
  <si>
    <t>[3.2655064999999013]</t>
  </si>
  <si>
    <t>_e_nc_l</t>
  </si>
  <si>
    <t>pencil</t>
  </si>
  <si>
    <t>[2.629473799999687]</t>
  </si>
  <si>
    <t>p_st_r</t>
  </si>
  <si>
    <t>poster</t>
  </si>
  <si>
    <t>pastry</t>
  </si>
  <si>
    <t>[4.997822199999064]</t>
  </si>
  <si>
    <t>p_st_y</t>
  </si>
  <si>
    <t>[np.float64(-0.32037037037037036)]</t>
  </si>
  <si>
    <t>[5.913836299994728]</t>
  </si>
  <si>
    <t>_ou_se</t>
  </si>
  <si>
    <t>mouse</t>
  </si>
  <si>
    <t>[]</t>
  </si>
  <si>
    <t>c_s_</t>
  </si>
  <si>
    <t>case</t>
  </si>
  <si>
    <t>[2.431979599998158]</t>
  </si>
  <si>
    <t>c_m_ra</t>
  </si>
  <si>
    <t>camera</t>
  </si>
  <si>
    <t>[np.float64(-0.014814814814814815)]</t>
  </si>
  <si>
    <t>[np.float64(-0.3055555555555556)]</t>
  </si>
  <si>
    <t>[3.3307574999998906]</t>
  </si>
  <si>
    <t>_o_rd</t>
  </si>
  <si>
    <t>board</t>
  </si>
  <si>
    <t>[np.float64(-0.018518518518518517)]</t>
  </si>
  <si>
    <t>[np.float64(-0.29814814814814816)]</t>
  </si>
  <si>
    <t>[7.197264299997187]</t>
  </si>
  <si>
    <t>prop hit from study list</t>
  </si>
  <si>
    <t>prop hit from non primed list</t>
  </si>
  <si>
    <t>Priming score</t>
  </si>
  <si>
    <t>2025-10-19_20h41.04.048</t>
  </si>
  <si>
    <t>2025-10-19 20h41.14.400678 +0530</t>
  </si>
  <si>
    <t>[np.float64(-0.0962962962962963)]</t>
  </si>
  <si>
    <t>[np.float64(-0.3111111111111111)]</t>
  </si>
  <si>
    <t>[5.595917800004827]</t>
  </si>
  <si>
    <t>[6.3453950000111945]</t>
  </si>
  <si>
    <t>[np.float64(-0.09537037037037037)]</t>
  </si>
  <si>
    <t>[3.813390099996468]</t>
  </si>
  <si>
    <t>[4.6635823999822605]</t>
  </si>
  <si>
    <t>[5.462504800001625]</t>
  </si>
  <si>
    <t>[4.897165499976836]</t>
  </si>
  <si>
    <t>[np.float64(-0.08888888888888889)]</t>
  </si>
  <si>
    <t>[np.float64(-0.32222222222222224)]</t>
  </si>
  <si>
    <t>[5.930615999997826]</t>
  </si>
  <si>
    <t>[np.float64(-0.08796296296296297)]</t>
  </si>
  <si>
    <t>[6.363893100002315]</t>
  </si>
  <si>
    <t>[2.9477763999893796]</t>
  </si>
  <si>
    <t>[np.float64(-0.2898148148148148)]</t>
  </si>
  <si>
    <t>[4.013527100003557]</t>
  </si>
  <si>
    <t>[2.746137700014515]</t>
  </si>
  <si>
    <t>[3.4617825000023004]</t>
  </si>
  <si>
    <t>vast</t>
  </si>
  <si>
    <t>[6.4946059999929275]</t>
  </si>
  <si>
    <t>tally</t>
  </si>
  <si>
    <t>[3.2138404000143055]</t>
  </si>
  <si>
    <t>[3.128853300004266]</t>
  </si>
  <si>
    <t>[8.813693400006741]</t>
  </si>
  <si>
    <t>[np.float64(-0.08425925925925926)]</t>
  </si>
  <si>
    <t>[np.float64(-0.30833333333333335)]</t>
  </si>
  <si>
    <t>[3.4988174000172876]</t>
  </si>
  <si>
    <t>[np.float64(-0.08518518518518518)]</t>
  </si>
  <si>
    <t>[3.5760903999907896]</t>
  </si>
  <si>
    <t>[2.8468129000102635]</t>
  </si>
  <si>
    <t>moon</t>
  </si>
  <si>
    <t>[3.1278103000076953]</t>
  </si>
  <si>
    <t>2025-10-19_20h43.28.045</t>
  </si>
  <si>
    <t>2025-10-19 20h43.32.026334 +0530</t>
  </si>
  <si>
    <t>bruise</t>
  </si>
  <si>
    <t>[np.float64(-0.45925925925925926), np.float64(-0.07777777777777778)]</t>
  </si>
  <si>
    <t>[np.float64(-0.30092592592592593), np.float64(-0.30277777777777776)]</t>
  </si>
  <si>
    <t>[1, 1]</t>
  </si>
  <si>
    <t>[0, 0]</t>
  </si>
  <si>
    <t>[0.21606330000213347, 4.532592700008536]</t>
  </si>
  <si>
    <t>[None, 'text_3']</t>
  </si>
  <si>
    <t>[np.float64(-0.07777777777777778)]</t>
  </si>
  <si>
    <t>[np.float64(-0.30277777777777776)]</t>
  </si>
  <si>
    <t>[3.4470317999948747]</t>
  </si>
  <si>
    <t>[np.float64(-0.07685185185185185)]</t>
  </si>
  <si>
    <t>[3.547769500000868]</t>
  </si>
  <si>
    <t>[7.5118325000221375]</t>
  </si>
  <si>
    <t>pastor</t>
  </si>
  <si>
    <t>[4.579491100012092]</t>
  </si>
  <si>
    <t>[2.5111136000195984]</t>
  </si>
  <si>
    <t>shore</t>
  </si>
  <si>
    <t>[6.012450000009267]</t>
  </si>
  <si>
    <t>[4.227858500002185]</t>
  </si>
  <si>
    <t>house</t>
  </si>
  <si>
    <t>[7.562941999989562]</t>
  </si>
  <si>
    <t>[4.911878799990518]</t>
  </si>
  <si>
    <t>[2.865925899997819]</t>
  </si>
  <si>
    <t>[np.float64(-0.07962962962962963)]</t>
  </si>
  <si>
    <t>[2.54550599999493]</t>
  </si>
  <si>
    <t>[6.012329199991655]</t>
  </si>
  <si>
    <t>door</t>
  </si>
  <si>
    <t>[4.678954999981215]</t>
  </si>
  <si>
    <t>[3.4468509000143968]</t>
  </si>
  <si>
    <t>[1.993783899990376]</t>
  </si>
  <si>
    <t>[2.1650271999824326]</t>
  </si>
  <si>
    <t>[4.280923599988455]</t>
  </si>
  <si>
    <t>[2.612546000018483]</t>
  </si>
  <si>
    <t>[2.378032400010852]</t>
  </si>
  <si>
    <t>2025-10-19_20h45.29.885</t>
  </si>
  <si>
    <t>2025-10-19 20h45.33.519621 +0530</t>
  </si>
  <si>
    <t>hoard</t>
  </si>
  <si>
    <t>[np.float64(0.12129629629629629)]</t>
  </si>
  <si>
    <t>[np.float64(-0.30462962962962964)]</t>
  </si>
  <si>
    <t>[7.999630800011801]</t>
  </si>
  <si>
    <t>[2.513904100022046]</t>
  </si>
  <si>
    <t>[6.259990399994422]</t>
  </si>
  <si>
    <t>[4.063449299981585]</t>
  </si>
  <si>
    <t>[1.8147720999841113]</t>
  </si>
  <si>
    <t>[3.029537300026277]</t>
  </si>
  <si>
    <t>[2.7292988000262994]</t>
  </si>
  <si>
    <t>[5.97958130002371]</t>
  </si>
  <si>
    <t>[2.7458738000132143]</t>
  </si>
  <si>
    <t>[5.4644733000022825]</t>
  </si>
  <si>
    <t>[4.745092500001192]</t>
  </si>
  <si>
    <t>[3.928041100007249]</t>
  </si>
  <si>
    <t>[2.11300789998495]</t>
  </si>
  <si>
    <t>[5.178732499975013]</t>
  </si>
  <si>
    <t>[2.228140399995027]</t>
  </si>
  <si>
    <t>[2.2122945000010077]</t>
  </si>
  <si>
    <t>[2.2783867999969516]</t>
  </si>
  <si>
    <t>[1.745936299994355]</t>
  </si>
  <si>
    <t>[np.float64(0.12037037037037036)]</t>
  </si>
  <si>
    <t>[np.float64(-0.30185185185185187)]</t>
  </si>
  <si>
    <t>[3.147673899977235]</t>
  </si>
  <si>
    <t>[1.9449666000145953]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</si>
</sst>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6"/>
  <sheetViews>
    <sheetView topLeftCell="F1" workbookViewId="0">
      <selection activeCell="J24" sqref="J24:J26"/>
    </sheetView>
  </sheetViews>
  <sheetFormatPr defaultRowHeight="14.5" x14ac:dyDescent="0.35"/>
  <cols>
    <col min="10" max="10" width="25.3632812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B2">
        <v>0</v>
      </c>
      <c r="C2">
        <v>0</v>
      </c>
      <c r="D2">
        <v>0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12</v>
      </c>
      <c r="Z2">
        <v>20.297515899997901</v>
      </c>
      <c r="AH2">
        <v>20.290514200001699</v>
      </c>
      <c r="AI2">
        <v>20.297515899997901</v>
      </c>
      <c r="AJ2">
        <v>20.297515899997901</v>
      </c>
      <c r="AK2">
        <v>20.297515899997901</v>
      </c>
      <c r="AL2">
        <v>8.9119000040227495E-3</v>
      </c>
      <c r="AM2">
        <v>28.298311099999399</v>
      </c>
      <c r="AN2" t="s">
        <v>62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Z2">
        <v>1</v>
      </c>
      <c r="BA2">
        <v>1</v>
      </c>
      <c r="BB2" t="s">
        <v>69</v>
      </c>
      <c r="BC2" t="s">
        <v>70</v>
      </c>
      <c r="BE2" t="s">
        <v>71</v>
      </c>
      <c r="BF2">
        <v>59.943341553050097</v>
      </c>
      <c r="BG2" t="s">
        <v>72</v>
      </c>
    </row>
    <row r="3" spans="1:59" x14ac:dyDescent="0.35">
      <c r="B3">
        <v>1</v>
      </c>
      <c r="C3">
        <v>1</v>
      </c>
      <c r="D3">
        <v>0</v>
      </c>
      <c r="G3" t="s">
        <v>73</v>
      </c>
      <c r="H3" t="s">
        <v>74</v>
      </c>
      <c r="I3" t="s">
        <v>61</v>
      </c>
      <c r="J3" t="s">
        <v>74</v>
      </c>
      <c r="K3" t="s">
        <v>63</v>
      </c>
      <c r="L3" t="s">
        <v>64</v>
      </c>
      <c r="M3" t="s">
        <v>65</v>
      </c>
      <c r="N3" t="s">
        <v>66</v>
      </c>
      <c r="O3" t="s">
        <v>66</v>
      </c>
      <c r="P3" t="s">
        <v>75</v>
      </c>
      <c r="Q3" t="s">
        <v>68</v>
      </c>
      <c r="V3">
        <v>0</v>
      </c>
      <c r="W3">
        <v>1</v>
      </c>
      <c r="X3">
        <v>1</v>
      </c>
      <c r="Y3">
        <v>0</v>
      </c>
      <c r="Z3">
        <v>28.313801899996101</v>
      </c>
      <c r="AH3">
        <v>28.3001491999966</v>
      </c>
      <c r="AI3">
        <v>28.313801899996101</v>
      </c>
      <c r="AJ3">
        <v>28.313801899996101</v>
      </c>
      <c r="AK3">
        <v>28.313801899996101</v>
      </c>
      <c r="AL3">
        <v>1.7405999969923799E-3</v>
      </c>
      <c r="AM3">
        <v>32.631181700002301</v>
      </c>
      <c r="AN3" t="s">
        <v>74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75</v>
      </c>
      <c r="AU3" t="s">
        <v>68</v>
      </c>
      <c r="AZ3">
        <v>1</v>
      </c>
      <c r="BA3">
        <v>1</v>
      </c>
      <c r="BB3" t="s">
        <v>69</v>
      </c>
      <c r="BC3" t="s">
        <v>70</v>
      </c>
      <c r="BE3" t="s">
        <v>71</v>
      </c>
      <c r="BF3">
        <v>59.943341553050097</v>
      </c>
      <c r="BG3" t="s">
        <v>72</v>
      </c>
    </row>
    <row r="4" spans="1:59" x14ac:dyDescent="0.35">
      <c r="B4">
        <v>2</v>
      </c>
      <c r="C4">
        <v>2</v>
      </c>
      <c r="D4">
        <v>0</v>
      </c>
      <c r="G4" t="s">
        <v>76</v>
      </c>
      <c r="H4" t="s">
        <v>77</v>
      </c>
      <c r="I4" t="s">
        <v>61</v>
      </c>
      <c r="J4" t="s">
        <v>77</v>
      </c>
      <c r="K4" t="s">
        <v>63</v>
      </c>
      <c r="L4" t="s">
        <v>64</v>
      </c>
      <c r="M4" t="s">
        <v>65</v>
      </c>
      <c r="N4" t="s">
        <v>66</v>
      </c>
      <c r="O4" t="s">
        <v>66</v>
      </c>
      <c r="P4" t="s">
        <v>78</v>
      </c>
      <c r="Q4" t="s">
        <v>68</v>
      </c>
      <c r="V4">
        <v>0</v>
      </c>
      <c r="W4">
        <v>2</v>
      </c>
      <c r="X4">
        <v>2</v>
      </c>
      <c r="Y4">
        <v>14</v>
      </c>
      <c r="Z4">
        <v>32.646892999997299</v>
      </c>
      <c r="AH4">
        <v>32.632980299997101</v>
      </c>
      <c r="AI4">
        <v>32.646892999997299</v>
      </c>
      <c r="AJ4">
        <v>32.646892999997299</v>
      </c>
      <c r="AK4">
        <v>32.646892999997299</v>
      </c>
      <c r="AL4">
        <v>1.7258000007132001E-3</v>
      </c>
      <c r="AM4">
        <v>35.080951600000802</v>
      </c>
      <c r="AN4" t="s">
        <v>77</v>
      </c>
      <c r="AO4" t="s">
        <v>63</v>
      </c>
      <c r="AP4" t="s">
        <v>64</v>
      </c>
      <c r="AQ4" t="s">
        <v>65</v>
      </c>
      <c r="AR4" t="s">
        <v>66</v>
      </c>
      <c r="AS4" t="s">
        <v>66</v>
      </c>
      <c r="AT4" t="s">
        <v>78</v>
      </c>
      <c r="AU4" t="s">
        <v>68</v>
      </c>
      <c r="AZ4">
        <v>1</v>
      </c>
      <c r="BA4">
        <v>1</v>
      </c>
      <c r="BB4" t="s">
        <v>69</v>
      </c>
      <c r="BC4" t="s">
        <v>70</v>
      </c>
      <c r="BE4" t="s">
        <v>71</v>
      </c>
      <c r="BF4">
        <v>59.943341553050097</v>
      </c>
      <c r="BG4" t="s">
        <v>72</v>
      </c>
    </row>
    <row r="5" spans="1:59" x14ac:dyDescent="0.35">
      <c r="B5">
        <v>3</v>
      </c>
      <c r="C5">
        <v>3</v>
      </c>
      <c r="D5">
        <v>0</v>
      </c>
      <c r="G5" t="s">
        <v>79</v>
      </c>
      <c r="H5" t="s">
        <v>80</v>
      </c>
      <c r="I5" t="s">
        <v>81</v>
      </c>
      <c r="J5" t="s">
        <v>80</v>
      </c>
      <c r="K5" t="s">
        <v>63</v>
      </c>
      <c r="L5" t="s">
        <v>64</v>
      </c>
      <c r="M5" t="s">
        <v>65</v>
      </c>
      <c r="N5" t="s">
        <v>66</v>
      </c>
      <c r="O5" t="s">
        <v>66</v>
      </c>
      <c r="P5" t="s">
        <v>82</v>
      </c>
      <c r="Q5" t="s">
        <v>68</v>
      </c>
      <c r="V5">
        <v>0</v>
      </c>
      <c r="W5">
        <v>3</v>
      </c>
      <c r="X5">
        <v>3</v>
      </c>
      <c r="Y5">
        <v>17</v>
      </c>
      <c r="Z5">
        <v>35.096683399999101</v>
      </c>
      <c r="AH5">
        <v>35.083474300001399</v>
      </c>
      <c r="AI5">
        <v>35.096683399999101</v>
      </c>
      <c r="AJ5">
        <v>35.096683399999101</v>
      </c>
      <c r="AK5">
        <v>35.096683399999101</v>
      </c>
      <c r="AL5">
        <v>2.45109999377746E-3</v>
      </c>
      <c r="AM5">
        <v>38.047936299997602</v>
      </c>
      <c r="AN5" t="s">
        <v>80</v>
      </c>
      <c r="AO5" t="s">
        <v>63</v>
      </c>
      <c r="AP5" t="s">
        <v>64</v>
      </c>
      <c r="AQ5" t="s">
        <v>65</v>
      </c>
      <c r="AR5" t="s">
        <v>66</v>
      </c>
      <c r="AS5" t="s">
        <v>66</v>
      </c>
      <c r="AT5" t="s">
        <v>82</v>
      </c>
      <c r="AU5" t="s">
        <v>68</v>
      </c>
      <c r="AZ5">
        <v>1</v>
      </c>
      <c r="BA5">
        <v>1</v>
      </c>
      <c r="BB5" t="s">
        <v>69</v>
      </c>
      <c r="BC5" t="s">
        <v>70</v>
      </c>
      <c r="BE5" t="s">
        <v>71</v>
      </c>
      <c r="BF5">
        <v>59.943341553050097</v>
      </c>
      <c r="BG5" t="s">
        <v>72</v>
      </c>
    </row>
    <row r="6" spans="1:59" x14ac:dyDescent="0.35">
      <c r="B6">
        <v>4</v>
      </c>
      <c r="C6">
        <v>4</v>
      </c>
      <c r="D6">
        <v>0</v>
      </c>
      <c r="G6" t="s">
        <v>83</v>
      </c>
      <c r="H6" t="s">
        <v>84</v>
      </c>
      <c r="I6" t="s">
        <v>61</v>
      </c>
      <c r="J6" t="s">
        <v>85</v>
      </c>
      <c r="K6" t="s">
        <v>63</v>
      </c>
      <c r="L6" t="s">
        <v>64</v>
      </c>
      <c r="M6" t="s">
        <v>65</v>
      </c>
      <c r="N6" t="s">
        <v>66</v>
      </c>
      <c r="O6" t="s">
        <v>66</v>
      </c>
      <c r="P6" t="s">
        <v>86</v>
      </c>
      <c r="Q6" t="s">
        <v>68</v>
      </c>
      <c r="V6">
        <v>0</v>
      </c>
      <c r="W6">
        <v>4</v>
      </c>
      <c r="X6">
        <v>4</v>
      </c>
      <c r="Y6">
        <v>2</v>
      </c>
      <c r="Z6">
        <v>38.063347099996399</v>
      </c>
      <c r="AH6">
        <v>38.050579399998199</v>
      </c>
      <c r="AI6">
        <v>38.063347099996399</v>
      </c>
      <c r="AJ6">
        <v>38.063347099996399</v>
      </c>
      <c r="AK6">
        <v>38.063347099996399</v>
      </c>
      <c r="AL6">
        <v>2.5762000004760899E-3</v>
      </c>
      <c r="AM6">
        <v>41.097219199997198</v>
      </c>
      <c r="AN6" t="s">
        <v>85</v>
      </c>
      <c r="AO6" t="s">
        <v>63</v>
      </c>
      <c r="AP6" t="s">
        <v>64</v>
      </c>
      <c r="AQ6" t="s">
        <v>65</v>
      </c>
      <c r="AR6" t="s">
        <v>66</v>
      </c>
      <c r="AS6" t="s">
        <v>66</v>
      </c>
      <c r="AT6" t="s">
        <v>86</v>
      </c>
      <c r="AU6" t="s">
        <v>68</v>
      </c>
      <c r="AZ6">
        <v>1</v>
      </c>
      <c r="BA6">
        <v>1</v>
      </c>
      <c r="BB6" t="s">
        <v>69</v>
      </c>
      <c r="BC6" t="s">
        <v>70</v>
      </c>
      <c r="BE6" t="s">
        <v>71</v>
      </c>
      <c r="BF6">
        <v>59.943341553050097</v>
      </c>
      <c r="BG6" t="s">
        <v>72</v>
      </c>
    </row>
    <row r="7" spans="1:59" x14ac:dyDescent="0.35">
      <c r="B7">
        <v>5</v>
      </c>
      <c r="C7">
        <v>5</v>
      </c>
      <c r="D7">
        <v>0</v>
      </c>
      <c r="G7" t="s">
        <v>87</v>
      </c>
      <c r="H7" t="s">
        <v>88</v>
      </c>
      <c r="I7" t="s">
        <v>61</v>
      </c>
      <c r="J7" t="s">
        <v>88</v>
      </c>
      <c r="K7" t="s">
        <v>63</v>
      </c>
      <c r="L7" t="s">
        <v>64</v>
      </c>
      <c r="M7" t="s">
        <v>65</v>
      </c>
      <c r="N7" t="s">
        <v>66</v>
      </c>
      <c r="O7" t="s">
        <v>66</v>
      </c>
      <c r="P7" t="s">
        <v>89</v>
      </c>
      <c r="Q7" t="s">
        <v>68</v>
      </c>
      <c r="V7">
        <v>0</v>
      </c>
      <c r="W7">
        <v>5</v>
      </c>
      <c r="X7">
        <v>5</v>
      </c>
      <c r="Y7">
        <v>11</v>
      </c>
      <c r="Z7">
        <v>41.113337399998201</v>
      </c>
      <c r="AH7">
        <v>41.098755099999799</v>
      </c>
      <c r="AI7">
        <v>41.113337399998201</v>
      </c>
      <c r="AJ7">
        <v>41.113337399998201</v>
      </c>
      <c r="AK7">
        <v>41.113337399998201</v>
      </c>
      <c r="AL7">
        <v>1.4761000056751001E-3</v>
      </c>
      <c r="AM7">
        <v>46.763622899998097</v>
      </c>
      <c r="AN7" t="s">
        <v>88</v>
      </c>
      <c r="AO7" t="s">
        <v>63</v>
      </c>
      <c r="AP7" t="s">
        <v>64</v>
      </c>
      <c r="AQ7" t="s">
        <v>65</v>
      </c>
      <c r="AR7" t="s">
        <v>66</v>
      </c>
      <c r="AS7" t="s">
        <v>66</v>
      </c>
      <c r="AT7" t="s">
        <v>89</v>
      </c>
      <c r="AU7" t="s">
        <v>68</v>
      </c>
      <c r="AZ7">
        <v>1</v>
      </c>
      <c r="BA7">
        <v>1</v>
      </c>
      <c r="BB7" t="s">
        <v>69</v>
      </c>
      <c r="BC7" t="s">
        <v>70</v>
      </c>
      <c r="BE7" t="s">
        <v>71</v>
      </c>
      <c r="BF7">
        <v>59.943341553050097</v>
      </c>
      <c r="BG7" t="s">
        <v>72</v>
      </c>
    </row>
    <row r="8" spans="1:59" x14ac:dyDescent="0.35">
      <c r="B8">
        <v>6</v>
      </c>
      <c r="C8">
        <v>6</v>
      </c>
      <c r="D8">
        <v>0</v>
      </c>
      <c r="G8" t="s">
        <v>90</v>
      </c>
      <c r="H8" t="s">
        <v>91</v>
      </c>
      <c r="I8" t="s">
        <v>61</v>
      </c>
      <c r="J8" t="s">
        <v>91</v>
      </c>
      <c r="K8" t="s">
        <v>63</v>
      </c>
      <c r="L8" t="s">
        <v>64</v>
      </c>
      <c r="M8" t="s">
        <v>65</v>
      </c>
      <c r="N8" t="s">
        <v>66</v>
      </c>
      <c r="O8" t="s">
        <v>66</v>
      </c>
      <c r="P8" t="s">
        <v>92</v>
      </c>
      <c r="Q8" t="s">
        <v>68</v>
      </c>
      <c r="V8">
        <v>0</v>
      </c>
      <c r="W8">
        <v>6</v>
      </c>
      <c r="X8">
        <v>6</v>
      </c>
      <c r="Y8">
        <v>1</v>
      </c>
      <c r="Z8">
        <v>46.779688800001097</v>
      </c>
      <c r="AH8">
        <v>46.7652261999974</v>
      </c>
      <c r="AI8">
        <v>46.779688800001097</v>
      </c>
      <c r="AJ8">
        <v>46.779688800001097</v>
      </c>
      <c r="AK8">
        <v>46.779688800001097</v>
      </c>
      <c r="AL8">
        <v>1.5351000038208401E-3</v>
      </c>
      <c r="AM8">
        <v>50.413284499998497</v>
      </c>
      <c r="AN8" t="s">
        <v>91</v>
      </c>
      <c r="AO8" t="s">
        <v>63</v>
      </c>
      <c r="AP8" t="s">
        <v>64</v>
      </c>
      <c r="AQ8" t="s">
        <v>65</v>
      </c>
      <c r="AR8" t="s">
        <v>66</v>
      </c>
      <c r="AS8" t="s">
        <v>66</v>
      </c>
      <c r="AT8" t="s">
        <v>92</v>
      </c>
      <c r="AU8" t="s">
        <v>68</v>
      </c>
      <c r="AZ8">
        <v>1</v>
      </c>
      <c r="BA8">
        <v>1</v>
      </c>
      <c r="BB8" t="s">
        <v>69</v>
      </c>
      <c r="BC8" t="s">
        <v>70</v>
      </c>
      <c r="BE8" t="s">
        <v>71</v>
      </c>
      <c r="BF8">
        <v>59.943341553050097</v>
      </c>
      <c r="BG8" t="s">
        <v>72</v>
      </c>
    </row>
    <row r="9" spans="1:59" x14ac:dyDescent="0.35">
      <c r="B9">
        <v>7</v>
      </c>
      <c r="C9">
        <v>7</v>
      </c>
      <c r="D9">
        <v>0</v>
      </c>
      <c r="G9" t="s">
        <v>93</v>
      </c>
      <c r="H9" t="s">
        <v>94</v>
      </c>
      <c r="I9" t="s">
        <v>81</v>
      </c>
      <c r="J9" t="s">
        <v>94</v>
      </c>
      <c r="K9" t="s">
        <v>63</v>
      </c>
      <c r="L9" t="s">
        <v>64</v>
      </c>
      <c r="M9" t="s">
        <v>65</v>
      </c>
      <c r="N9" t="s">
        <v>66</v>
      </c>
      <c r="O9" t="s">
        <v>66</v>
      </c>
      <c r="P9" t="s">
        <v>95</v>
      </c>
      <c r="Q9" t="s">
        <v>68</v>
      </c>
      <c r="V9">
        <v>0</v>
      </c>
      <c r="W9">
        <v>7</v>
      </c>
      <c r="X9">
        <v>7</v>
      </c>
      <c r="Y9">
        <v>15</v>
      </c>
      <c r="Z9">
        <v>50.4295534999982</v>
      </c>
      <c r="AH9">
        <v>50.415543800001601</v>
      </c>
      <c r="AI9">
        <v>50.4295534999982</v>
      </c>
      <c r="AJ9">
        <v>50.4295534999982</v>
      </c>
      <c r="AK9">
        <v>50.4295534999982</v>
      </c>
      <c r="AL9">
        <v>2.20019999687792E-3</v>
      </c>
      <c r="AM9">
        <v>55.763436200002602</v>
      </c>
      <c r="AN9" t="s">
        <v>94</v>
      </c>
      <c r="AO9" t="s">
        <v>63</v>
      </c>
      <c r="AP9" t="s">
        <v>64</v>
      </c>
      <c r="AQ9" t="s">
        <v>65</v>
      </c>
      <c r="AR9" t="s">
        <v>66</v>
      </c>
      <c r="AS9" t="s">
        <v>66</v>
      </c>
      <c r="AT9" t="s">
        <v>95</v>
      </c>
      <c r="AU9" t="s">
        <v>68</v>
      </c>
      <c r="AZ9">
        <v>1</v>
      </c>
      <c r="BA9">
        <v>1</v>
      </c>
      <c r="BB9" t="s">
        <v>69</v>
      </c>
      <c r="BC9" t="s">
        <v>70</v>
      </c>
      <c r="BE9" t="s">
        <v>71</v>
      </c>
      <c r="BF9">
        <v>59.943341553050097</v>
      </c>
      <c r="BG9" t="s">
        <v>72</v>
      </c>
    </row>
    <row r="10" spans="1:59" x14ac:dyDescent="0.35">
      <c r="B10">
        <v>8</v>
      </c>
      <c r="C10">
        <v>8</v>
      </c>
      <c r="D10">
        <v>0</v>
      </c>
      <c r="G10" t="s">
        <v>96</v>
      </c>
      <c r="H10" t="s">
        <v>97</v>
      </c>
      <c r="I10" t="s">
        <v>61</v>
      </c>
      <c r="J10" t="s">
        <v>97</v>
      </c>
      <c r="K10" t="s">
        <v>98</v>
      </c>
      <c r="L10" t="s">
        <v>99</v>
      </c>
      <c r="M10" t="s">
        <v>65</v>
      </c>
      <c r="N10" t="s">
        <v>66</v>
      </c>
      <c r="O10" t="s">
        <v>66</v>
      </c>
      <c r="P10" t="s">
        <v>100</v>
      </c>
      <c r="Q10" t="s">
        <v>68</v>
      </c>
      <c r="V10">
        <v>0</v>
      </c>
      <c r="W10">
        <v>8</v>
      </c>
      <c r="X10">
        <v>8</v>
      </c>
      <c r="Y10">
        <v>13</v>
      </c>
      <c r="Z10">
        <v>55.779175399998998</v>
      </c>
      <c r="AH10">
        <v>55.765531400000299</v>
      </c>
      <c r="AI10">
        <v>55.779175399998998</v>
      </c>
      <c r="AJ10">
        <v>55.779175399998998</v>
      </c>
      <c r="AK10">
        <v>55.779175399998998</v>
      </c>
      <c r="AL10">
        <v>2.0398999986355102E-3</v>
      </c>
      <c r="AM10">
        <v>61.496095800001001</v>
      </c>
      <c r="AN10" t="s">
        <v>97</v>
      </c>
      <c r="AO10" t="s">
        <v>98</v>
      </c>
      <c r="AP10" t="s">
        <v>99</v>
      </c>
      <c r="AQ10" t="s">
        <v>65</v>
      </c>
      <c r="AR10" t="s">
        <v>66</v>
      </c>
      <c r="AS10" t="s">
        <v>66</v>
      </c>
      <c r="AT10" t="s">
        <v>100</v>
      </c>
      <c r="AU10" t="s">
        <v>68</v>
      </c>
      <c r="AZ10">
        <v>1</v>
      </c>
      <c r="BA10">
        <v>1</v>
      </c>
      <c r="BB10" t="s">
        <v>69</v>
      </c>
      <c r="BC10" t="s">
        <v>70</v>
      </c>
      <c r="BE10" t="s">
        <v>71</v>
      </c>
      <c r="BF10">
        <v>59.943341553050097</v>
      </c>
      <c r="BG10" t="s">
        <v>72</v>
      </c>
    </row>
    <row r="11" spans="1:59" x14ac:dyDescent="0.35">
      <c r="B11">
        <v>9</v>
      </c>
      <c r="C11">
        <v>9</v>
      </c>
      <c r="D11">
        <v>0</v>
      </c>
      <c r="G11" t="s">
        <v>101</v>
      </c>
      <c r="H11" t="s">
        <v>102</v>
      </c>
      <c r="I11" t="s">
        <v>61</v>
      </c>
      <c r="J11" t="s">
        <v>102</v>
      </c>
      <c r="K11" t="s">
        <v>63</v>
      </c>
      <c r="L11" t="s">
        <v>64</v>
      </c>
      <c r="M11" t="s">
        <v>65</v>
      </c>
      <c r="N11" t="s">
        <v>66</v>
      </c>
      <c r="O11" t="s">
        <v>66</v>
      </c>
      <c r="P11" t="s">
        <v>103</v>
      </c>
      <c r="Q11" t="s">
        <v>68</v>
      </c>
      <c r="V11">
        <v>0</v>
      </c>
      <c r="W11">
        <v>9</v>
      </c>
      <c r="X11">
        <v>9</v>
      </c>
      <c r="Y11">
        <v>6</v>
      </c>
      <c r="Z11">
        <v>61.511988899997903</v>
      </c>
      <c r="AH11">
        <v>61.4979927000022</v>
      </c>
      <c r="AI11">
        <v>61.511988899997903</v>
      </c>
      <c r="AJ11">
        <v>61.511988899997903</v>
      </c>
      <c r="AK11">
        <v>61.511988899997903</v>
      </c>
      <c r="AL11">
        <v>1.8286999984411501E-3</v>
      </c>
      <c r="AM11">
        <v>64.429372099999398</v>
      </c>
      <c r="AN11" t="s">
        <v>102</v>
      </c>
      <c r="AO11" t="s">
        <v>63</v>
      </c>
      <c r="AP11" t="s">
        <v>64</v>
      </c>
      <c r="AQ11" t="s">
        <v>65</v>
      </c>
      <c r="AR11" t="s">
        <v>66</v>
      </c>
      <c r="AS11" t="s">
        <v>66</v>
      </c>
      <c r="AT11" t="s">
        <v>103</v>
      </c>
      <c r="AU11" t="s">
        <v>68</v>
      </c>
      <c r="AZ11">
        <v>1</v>
      </c>
      <c r="BA11">
        <v>1</v>
      </c>
      <c r="BB11" t="s">
        <v>69</v>
      </c>
      <c r="BC11" t="s">
        <v>70</v>
      </c>
      <c r="BE11" t="s">
        <v>71</v>
      </c>
      <c r="BF11">
        <v>59.943341553050097</v>
      </c>
      <c r="BG11" t="s">
        <v>72</v>
      </c>
    </row>
    <row r="12" spans="1:59" x14ac:dyDescent="0.35">
      <c r="B12">
        <v>10</v>
      </c>
      <c r="C12">
        <v>10</v>
      </c>
      <c r="D12">
        <v>0</v>
      </c>
      <c r="G12" t="s">
        <v>104</v>
      </c>
      <c r="H12" t="s">
        <v>105</v>
      </c>
      <c r="I12" t="s">
        <v>61</v>
      </c>
      <c r="J12" t="s">
        <v>105</v>
      </c>
      <c r="K12" t="s">
        <v>106</v>
      </c>
      <c r="L12" t="s">
        <v>107</v>
      </c>
      <c r="M12" t="s">
        <v>65</v>
      </c>
      <c r="N12" t="s">
        <v>66</v>
      </c>
      <c r="O12" t="s">
        <v>66</v>
      </c>
      <c r="P12" t="s">
        <v>108</v>
      </c>
      <c r="Q12" t="s">
        <v>68</v>
      </c>
      <c r="V12">
        <v>0</v>
      </c>
      <c r="W12">
        <v>10</v>
      </c>
      <c r="X12">
        <v>10</v>
      </c>
      <c r="Y12">
        <v>7</v>
      </c>
      <c r="Z12">
        <v>64.445465400000103</v>
      </c>
      <c r="AH12">
        <v>64.431087400000195</v>
      </c>
      <c r="AI12">
        <v>64.445465400000103</v>
      </c>
      <c r="AJ12">
        <v>64.445465400000103</v>
      </c>
      <c r="AK12">
        <v>64.445465400000103</v>
      </c>
      <c r="AL12">
        <v>1.6402000037487501E-3</v>
      </c>
      <c r="AM12">
        <v>69.379383100000197</v>
      </c>
      <c r="AN12" t="s">
        <v>105</v>
      </c>
      <c r="AO12" t="s">
        <v>106</v>
      </c>
      <c r="AP12" t="s">
        <v>107</v>
      </c>
      <c r="AQ12" t="s">
        <v>65</v>
      </c>
      <c r="AR12" t="s">
        <v>66</v>
      </c>
      <c r="AS12" t="s">
        <v>66</v>
      </c>
      <c r="AT12" t="s">
        <v>108</v>
      </c>
      <c r="AU12" t="s">
        <v>68</v>
      </c>
      <c r="AZ12">
        <v>1</v>
      </c>
      <c r="BA12">
        <v>1</v>
      </c>
      <c r="BB12" t="s">
        <v>69</v>
      </c>
      <c r="BC12" t="s">
        <v>70</v>
      </c>
      <c r="BE12" t="s">
        <v>71</v>
      </c>
      <c r="BF12">
        <v>59.943341553050097</v>
      </c>
      <c r="BG12" t="s">
        <v>72</v>
      </c>
    </row>
    <row r="13" spans="1:59" x14ac:dyDescent="0.35">
      <c r="B13">
        <v>11</v>
      </c>
      <c r="C13">
        <v>11</v>
      </c>
      <c r="D13">
        <v>0</v>
      </c>
      <c r="G13" t="s">
        <v>109</v>
      </c>
      <c r="H13" t="s">
        <v>110</v>
      </c>
      <c r="I13" t="s">
        <v>81</v>
      </c>
      <c r="J13" t="s">
        <v>110</v>
      </c>
      <c r="K13" t="s">
        <v>106</v>
      </c>
      <c r="L13" t="s">
        <v>107</v>
      </c>
      <c r="M13" t="s">
        <v>65</v>
      </c>
      <c r="N13" t="s">
        <v>66</v>
      </c>
      <c r="O13" t="s">
        <v>66</v>
      </c>
      <c r="P13" t="s">
        <v>111</v>
      </c>
      <c r="Q13" t="s">
        <v>68</v>
      </c>
      <c r="V13">
        <v>0</v>
      </c>
      <c r="W13">
        <v>11</v>
      </c>
      <c r="X13">
        <v>11</v>
      </c>
      <c r="Y13">
        <v>18</v>
      </c>
      <c r="Z13">
        <v>69.395271000001202</v>
      </c>
      <c r="AH13">
        <v>69.381553499995704</v>
      </c>
      <c r="AI13">
        <v>69.395271000001202</v>
      </c>
      <c r="AJ13">
        <v>69.395271000001202</v>
      </c>
      <c r="AK13">
        <v>69.395271000001202</v>
      </c>
      <c r="AL13">
        <v>2.0924999989802E-3</v>
      </c>
      <c r="AM13">
        <v>74.228566600002495</v>
      </c>
      <c r="AN13" t="s">
        <v>110</v>
      </c>
      <c r="AO13" t="s">
        <v>106</v>
      </c>
      <c r="AP13" t="s">
        <v>107</v>
      </c>
      <c r="AQ13" t="s">
        <v>65</v>
      </c>
      <c r="AR13" t="s">
        <v>66</v>
      </c>
      <c r="AS13" t="s">
        <v>66</v>
      </c>
      <c r="AT13" t="s">
        <v>111</v>
      </c>
      <c r="AU13" t="s">
        <v>68</v>
      </c>
      <c r="AZ13">
        <v>1</v>
      </c>
      <c r="BA13">
        <v>1</v>
      </c>
      <c r="BB13" t="s">
        <v>69</v>
      </c>
      <c r="BC13" t="s">
        <v>70</v>
      </c>
      <c r="BE13" t="s">
        <v>71</v>
      </c>
      <c r="BF13">
        <v>59.943341553050097</v>
      </c>
      <c r="BG13" t="s">
        <v>72</v>
      </c>
    </row>
    <row r="14" spans="1:59" x14ac:dyDescent="0.35">
      <c r="B14">
        <v>12</v>
      </c>
      <c r="C14">
        <v>12</v>
      </c>
      <c r="D14">
        <v>0</v>
      </c>
      <c r="G14" t="s">
        <v>112</v>
      </c>
      <c r="H14" t="s">
        <v>113</v>
      </c>
      <c r="I14" t="s">
        <v>61</v>
      </c>
      <c r="J14" t="s">
        <v>113</v>
      </c>
      <c r="K14" t="s">
        <v>106</v>
      </c>
      <c r="L14" t="s">
        <v>107</v>
      </c>
      <c r="M14" t="s">
        <v>65</v>
      </c>
      <c r="N14" t="s">
        <v>66</v>
      </c>
      <c r="O14" t="s">
        <v>66</v>
      </c>
      <c r="P14" t="s">
        <v>114</v>
      </c>
      <c r="Q14" t="s">
        <v>68</v>
      </c>
      <c r="V14">
        <v>0</v>
      </c>
      <c r="W14">
        <v>12</v>
      </c>
      <c r="X14">
        <v>12</v>
      </c>
      <c r="Y14">
        <v>8</v>
      </c>
      <c r="Z14">
        <v>74.244687300000805</v>
      </c>
      <c r="AH14">
        <v>74.230144000001005</v>
      </c>
      <c r="AI14">
        <v>74.244687300000805</v>
      </c>
      <c r="AJ14">
        <v>74.244687300000805</v>
      </c>
      <c r="AK14">
        <v>74.244687300000805</v>
      </c>
      <c r="AL14">
        <v>1.5194000006886199E-3</v>
      </c>
      <c r="AM14">
        <v>77.4960011000002</v>
      </c>
      <c r="AN14" t="s">
        <v>113</v>
      </c>
      <c r="AO14" t="s">
        <v>106</v>
      </c>
      <c r="AP14" t="s">
        <v>107</v>
      </c>
      <c r="AQ14" t="s">
        <v>65</v>
      </c>
      <c r="AR14" t="s">
        <v>66</v>
      </c>
      <c r="AS14" t="s">
        <v>66</v>
      </c>
      <c r="AT14" t="s">
        <v>114</v>
      </c>
      <c r="AU14" t="s">
        <v>68</v>
      </c>
      <c r="AZ14">
        <v>1</v>
      </c>
      <c r="BA14">
        <v>1</v>
      </c>
      <c r="BB14" t="s">
        <v>69</v>
      </c>
      <c r="BC14" t="s">
        <v>70</v>
      </c>
      <c r="BE14" t="s">
        <v>71</v>
      </c>
      <c r="BF14">
        <v>59.943341553050097</v>
      </c>
      <c r="BG14" t="s">
        <v>72</v>
      </c>
    </row>
    <row r="15" spans="1:59" x14ac:dyDescent="0.35">
      <c r="B15">
        <v>13</v>
      </c>
      <c r="C15">
        <v>13</v>
      </c>
      <c r="D15">
        <v>0</v>
      </c>
      <c r="G15" t="s">
        <v>115</v>
      </c>
      <c r="H15" t="s">
        <v>116</v>
      </c>
      <c r="I15" t="s">
        <v>81</v>
      </c>
      <c r="J15" t="s">
        <v>116</v>
      </c>
      <c r="K15" t="s">
        <v>106</v>
      </c>
      <c r="L15" t="s">
        <v>107</v>
      </c>
      <c r="M15" t="s">
        <v>65</v>
      </c>
      <c r="N15" t="s">
        <v>66</v>
      </c>
      <c r="O15" t="s">
        <v>66</v>
      </c>
      <c r="P15" t="s">
        <v>117</v>
      </c>
      <c r="Q15" t="s">
        <v>68</v>
      </c>
      <c r="V15">
        <v>0</v>
      </c>
      <c r="W15">
        <v>13</v>
      </c>
      <c r="X15">
        <v>13</v>
      </c>
      <c r="Y15">
        <v>16</v>
      </c>
      <c r="Z15">
        <v>77.511352800000097</v>
      </c>
      <c r="AH15">
        <v>77.498899199999798</v>
      </c>
      <c r="AI15">
        <v>77.511352800000097</v>
      </c>
      <c r="AJ15">
        <v>77.511352800000097</v>
      </c>
      <c r="AK15">
        <v>77.511352800000097</v>
      </c>
      <c r="AL15">
        <v>2.7528999999049098E-3</v>
      </c>
      <c r="AM15">
        <v>80.128607400001698</v>
      </c>
      <c r="AN15" t="s">
        <v>116</v>
      </c>
      <c r="AO15" t="s">
        <v>106</v>
      </c>
      <c r="AP15" t="s">
        <v>107</v>
      </c>
      <c r="AQ15" t="s">
        <v>65</v>
      </c>
      <c r="AR15" t="s">
        <v>66</v>
      </c>
      <c r="AS15" t="s">
        <v>66</v>
      </c>
      <c r="AT15" t="s">
        <v>117</v>
      </c>
      <c r="AU15" t="s">
        <v>68</v>
      </c>
      <c r="AZ15">
        <v>1</v>
      </c>
      <c r="BA15">
        <v>1</v>
      </c>
      <c r="BB15" t="s">
        <v>69</v>
      </c>
      <c r="BC15" t="s">
        <v>70</v>
      </c>
      <c r="BE15" t="s">
        <v>71</v>
      </c>
      <c r="BF15">
        <v>59.943341553050097</v>
      </c>
      <c r="BG15" t="s">
        <v>72</v>
      </c>
    </row>
    <row r="16" spans="1:59" x14ac:dyDescent="0.35">
      <c r="B16">
        <v>14</v>
      </c>
      <c r="C16">
        <v>14</v>
      </c>
      <c r="D16">
        <v>0</v>
      </c>
      <c r="G16" t="s">
        <v>118</v>
      </c>
      <c r="H16" t="s">
        <v>119</v>
      </c>
      <c r="I16" t="s">
        <v>61</v>
      </c>
      <c r="J16" t="s">
        <v>120</v>
      </c>
      <c r="K16" t="s">
        <v>106</v>
      </c>
      <c r="L16" t="s">
        <v>107</v>
      </c>
      <c r="M16" t="s">
        <v>65</v>
      </c>
      <c r="N16" t="s">
        <v>66</v>
      </c>
      <c r="O16" t="s">
        <v>66</v>
      </c>
      <c r="P16" t="s">
        <v>121</v>
      </c>
      <c r="Q16" t="s">
        <v>68</v>
      </c>
      <c r="V16">
        <v>0</v>
      </c>
      <c r="W16">
        <v>14</v>
      </c>
      <c r="X16">
        <v>14</v>
      </c>
      <c r="Y16">
        <v>9</v>
      </c>
      <c r="Z16">
        <v>80.144584100002206</v>
      </c>
      <c r="AH16">
        <v>80.130464800000397</v>
      </c>
      <c r="AI16">
        <v>80.144584100002206</v>
      </c>
      <c r="AJ16">
        <v>80.144584100002206</v>
      </c>
      <c r="AK16">
        <v>80.144584100002206</v>
      </c>
      <c r="AL16">
        <v>1.79349999962141E-3</v>
      </c>
      <c r="AM16">
        <v>85.128542099999294</v>
      </c>
      <c r="AN16" t="s">
        <v>120</v>
      </c>
      <c r="AO16" t="s">
        <v>106</v>
      </c>
      <c r="AP16" t="s">
        <v>107</v>
      </c>
      <c r="AQ16" t="s">
        <v>65</v>
      </c>
      <c r="AR16" t="s">
        <v>66</v>
      </c>
      <c r="AS16" t="s">
        <v>66</v>
      </c>
      <c r="AT16" t="s">
        <v>121</v>
      </c>
      <c r="AU16" t="s">
        <v>68</v>
      </c>
      <c r="AZ16">
        <v>1</v>
      </c>
      <c r="BA16">
        <v>1</v>
      </c>
      <c r="BB16" t="s">
        <v>69</v>
      </c>
      <c r="BC16" t="s">
        <v>70</v>
      </c>
      <c r="BE16" t="s">
        <v>71</v>
      </c>
      <c r="BF16">
        <v>59.943341553050097</v>
      </c>
      <c r="BG16" t="s">
        <v>72</v>
      </c>
    </row>
    <row r="17" spans="2:59" x14ac:dyDescent="0.35">
      <c r="B17">
        <v>15</v>
      </c>
      <c r="C17">
        <v>15</v>
      </c>
      <c r="D17">
        <v>0</v>
      </c>
      <c r="G17" t="s">
        <v>122</v>
      </c>
      <c r="H17" t="s">
        <v>120</v>
      </c>
      <c r="I17" t="s">
        <v>61</v>
      </c>
      <c r="J17" t="s">
        <v>120</v>
      </c>
      <c r="K17" t="s">
        <v>106</v>
      </c>
      <c r="L17" t="s">
        <v>123</v>
      </c>
      <c r="M17" t="s">
        <v>65</v>
      </c>
      <c r="N17" t="s">
        <v>66</v>
      </c>
      <c r="O17" t="s">
        <v>66</v>
      </c>
      <c r="P17" t="s">
        <v>124</v>
      </c>
      <c r="Q17" t="s">
        <v>68</v>
      </c>
      <c r="V17">
        <v>0</v>
      </c>
      <c r="W17">
        <v>15</v>
      </c>
      <c r="X17">
        <v>15</v>
      </c>
      <c r="Y17">
        <v>4</v>
      </c>
      <c r="Z17">
        <v>85.1448993000012</v>
      </c>
      <c r="AH17">
        <v>85.130711899997493</v>
      </c>
      <c r="AI17">
        <v>85.1448993000012</v>
      </c>
      <c r="AJ17">
        <v>85.1448993000012</v>
      </c>
      <c r="AK17">
        <v>85.1448993000012</v>
      </c>
      <c r="AL17">
        <v>2.0898000002489399E-3</v>
      </c>
      <c r="AM17">
        <v>91.044818000002095</v>
      </c>
      <c r="AN17" t="s">
        <v>120</v>
      </c>
      <c r="AO17" t="s">
        <v>106</v>
      </c>
      <c r="AP17" t="s">
        <v>123</v>
      </c>
      <c r="AQ17" t="s">
        <v>65</v>
      </c>
      <c r="AR17" t="s">
        <v>66</v>
      </c>
      <c r="AS17" t="s">
        <v>66</v>
      </c>
      <c r="AT17" t="s">
        <v>124</v>
      </c>
      <c r="AU17" t="s">
        <v>68</v>
      </c>
      <c r="AZ17">
        <v>1</v>
      </c>
      <c r="BA17">
        <v>1</v>
      </c>
      <c r="BB17" t="s">
        <v>69</v>
      </c>
      <c r="BC17" t="s">
        <v>70</v>
      </c>
      <c r="BE17" t="s">
        <v>71</v>
      </c>
      <c r="BF17">
        <v>59.943341553050097</v>
      </c>
      <c r="BG17" t="s">
        <v>72</v>
      </c>
    </row>
    <row r="18" spans="2:59" x14ac:dyDescent="0.35">
      <c r="B18">
        <v>16</v>
      </c>
      <c r="C18">
        <v>16</v>
      </c>
      <c r="D18">
        <v>0</v>
      </c>
      <c r="G18" t="s">
        <v>125</v>
      </c>
      <c r="H18" t="s">
        <v>126</v>
      </c>
      <c r="I18" t="s">
        <v>61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V18">
        <v>0</v>
      </c>
      <c r="W18">
        <v>16</v>
      </c>
      <c r="X18">
        <v>16</v>
      </c>
      <c r="Y18">
        <v>3</v>
      </c>
      <c r="Z18">
        <v>91.060739399996194</v>
      </c>
      <c r="AH18">
        <v>91.046459899996904</v>
      </c>
      <c r="AI18">
        <v>91.060739399996194</v>
      </c>
      <c r="AJ18">
        <v>91.060739399996194</v>
      </c>
      <c r="AK18">
        <v>91.060739399996194</v>
      </c>
      <c r="AL18">
        <v>1.57239999680314E-3</v>
      </c>
      <c r="AM18">
        <v>101.04386060000201</v>
      </c>
      <c r="AO18" t="s">
        <v>127</v>
      </c>
      <c r="AP18" t="s">
        <v>127</v>
      </c>
      <c r="AQ18" t="s">
        <v>127</v>
      </c>
      <c r="AR18" t="s">
        <v>127</v>
      </c>
      <c r="AS18" t="s">
        <v>127</v>
      </c>
      <c r="AT18" t="s">
        <v>127</v>
      </c>
      <c r="AU18" t="s">
        <v>127</v>
      </c>
      <c r="AV18">
        <v>101.060358900002</v>
      </c>
      <c r="AW18">
        <v>101.060358900002</v>
      </c>
      <c r="AX18">
        <v>101.060358900002</v>
      </c>
      <c r="AY18">
        <v>9.9986976000000105</v>
      </c>
      <c r="AZ18">
        <v>1</v>
      </c>
      <c r="BA18">
        <v>1</v>
      </c>
      <c r="BB18" t="s">
        <v>69</v>
      </c>
      <c r="BC18" t="s">
        <v>70</v>
      </c>
      <c r="BE18" t="s">
        <v>71</v>
      </c>
      <c r="BF18">
        <v>59.943341553050097</v>
      </c>
      <c r="BG18" t="s">
        <v>72</v>
      </c>
    </row>
    <row r="19" spans="2:59" x14ac:dyDescent="0.35">
      <c r="B19">
        <v>17</v>
      </c>
      <c r="C19">
        <v>17</v>
      </c>
      <c r="D19">
        <v>0</v>
      </c>
      <c r="G19" t="s">
        <v>128</v>
      </c>
      <c r="H19" t="s">
        <v>129</v>
      </c>
      <c r="I19" t="s">
        <v>61</v>
      </c>
      <c r="J19" t="s">
        <v>129</v>
      </c>
      <c r="K19" t="s">
        <v>106</v>
      </c>
      <c r="L19" t="s">
        <v>123</v>
      </c>
      <c r="M19" t="s">
        <v>65</v>
      </c>
      <c r="N19" t="s">
        <v>66</v>
      </c>
      <c r="O19" t="s">
        <v>66</v>
      </c>
      <c r="P19" t="s">
        <v>130</v>
      </c>
      <c r="Q19" t="s">
        <v>68</v>
      </c>
      <c r="V19">
        <v>0</v>
      </c>
      <c r="W19">
        <v>17</v>
      </c>
      <c r="X19">
        <v>17</v>
      </c>
      <c r="Y19">
        <v>5</v>
      </c>
      <c r="Z19">
        <v>101.060358900002</v>
      </c>
      <c r="AH19">
        <v>101.04548919999699</v>
      </c>
      <c r="AI19">
        <v>101.060358900002</v>
      </c>
      <c r="AJ19">
        <v>101.060358900002</v>
      </c>
      <c r="AK19">
        <v>101.060358900002</v>
      </c>
      <c r="AL19">
        <v>6.0729999677278101E-4</v>
      </c>
      <c r="AM19">
        <v>103.477738199995</v>
      </c>
      <c r="AN19" t="s">
        <v>129</v>
      </c>
      <c r="AO19" t="s">
        <v>106</v>
      </c>
      <c r="AP19" t="s">
        <v>123</v>
      </c>
      <c r="AQ19" t="s">
        <v>65</v>
      </c>
      <c r="AR19" t="s">
        <v>66</v>
      </c>
      <c r="AS19" t="s">
        <v>66</v>
      </c>
      <c r="AT19" t="s">
        <v>130</v>
      </c>
      <c r="AU19" t="s">
        <v>68</v>
      </c>
      <c r="AZ19">
        <v>1</v>
      </c>
      <c r="BA19">
        <v>1</v>
      </c>
      <c r="BB19" t="s">
        <v>69</v>
      </c>
      <c r="BC19" t="s">
        <v>70</v>
      </c>
      <c r="BE19" t="s">
        <v>71</v>
      </c>
      <c r="BF19">
        <v>59.943341553050097</v>
      </c>
      <c r="BG19" t="s">
        <v>72</v>
      </c>
    </row>
    <row r="20" spans="2:59" x14ac:dyDescent="0.35">
      <c r="B20">
        <v>18</v>
      </c>
      <c r="C20">
        <v>18</v>
      </c>
      <c r="D20">
        <v>0</v>
      </c>
      <c r="G20" t="s">
        <v>131</v>
      </c>
      <c r="H20" t="s">
        <v>132</v>
      </c>
      <c r="I20" t="s">
        <v>81</v>
      </c>
      <c r="J20" t="s">
        <v>132</v>
      </c>
      <c r="K20" t="s">
        <v>133</v>
      </c>
      <c r="L20" t="s">
        <v>134</v>
      </c>
      <c r="M20" t="s">
        <v>65</v>
      </c>
      <c r="N20" t="s">
        <v>66</v>
      </c>
      <c r="O20" t="s">
        <v>66</v>
      </c>
      <c r="P20" t="s">
        <v>135</v>
      </c>
      <c r="Q20" t="s">
        <v>68</v>
      </c>
      <c r="V20">
        <v>0</v>
      </c>
      <c r="W20">
        <v>18</v>
      </c>
      <c r="X20">
        <v>18</v>
      </c>
      <c r="Y20">
        <v>19</v>
      </c>
      <c r="Z20">
        <v>103.49382650000101</v>
      </c>
      <c r="AH20">
        <v>103.479920699996</v>
      </c>
      <c r="AI20">
        <v>103.49382650000101</v>
      </c>
      <c r="AJ20">
        <v>103.49382650000101</v>
      </c>
      <c r="AK20">
        <v>103.49382650000101</v>
      </c>
      <c r="AL20">
        <v>2.1156000002520098E-3</v>
      </c>
      <c r="AM20">
        <v>106.81094509999799</v>
      </c>
      <c r="AN20" t="s">
        <v>132</v>
      </c>
      <c r="AO20" t="s">
        <v>133</v>
      </c>
      <c r="AP20" t="s">
        <v>134</v>
      </c>
      <c r="AQ20" t="s">
        <v>65</v>
      </c>
      <c r="AR20" t="s">
        <v>66</v>
      </c>
      <c r="AS20" t="s">
        <v>66</v>
      </c>
      <c r="AT20" t="s">
        <v>135</v>
      </c>
      <c r="AU20" t="s">
        <v>68</v>
      </c>
      <c r="AZ20">
        <v>1</v>
      </c>
      <c r="BA20">
        <v>1</v>
      </c>
      <c r="BB20" t="s">
        <v>69</v>
      </c>
      <c r="BC20" t="s">
        <v>70</v>
      </c>
      <c r="BE20" t="s">
        <v>71</v>
      </c>
      <c r="BF20">
        <v>59.943341553050097</v>
      </c>
      <c r="BG20" t="s">
        <v>72</v>
      </c>
    </row>
    <row r="21" spans="2:59" x14ac:dyDescent="0.35">
      <c r="B21">
        <v>19</v>
      </c>
      <c r="C21">
        <v>19</v>
      </c>
      <c r="D21">
        <v>0</v>
      </c>
      <c r="G21" t="s">
        <v>136</v>
      </c>
      <c r="H21" t="s">
        <v>137</v>
      </c>
      <c r="I21" t="s">
        <v>61</v>
      </c>
      <c r="J21" t="s">
        <v>137</v>
      </c>
      <c r="K21" t="s">
        <v>138</v>
      </c>
      <c r="L21" t="s">
        <v>139</v>
      </c>
      <c r="M21" t="s">
        <v>65</v>
      </c>
      <c r="N21" t="s">
        <v>66</v>
      </c>
      <c r="O21" t="s">
        <v>66</v>
      </c>
      <c r="P21" t="s">
        <v>140</v>
      </c>
      <c r="Q21" t="s">
        <v>68</v>
      </c>
      <c r="V21">
        <v>0</v>
      </c>
      <c r="W21">
        <v>19</v>
      </c>
      <c r="X21">
        <v>19</v>
      </c>
      <c r="Y21">
        <v>10</v>
      </c>
      <c r="Z21">
        <v>106.82706719999899</v>
      </c>
      <c r="AH21">
        <v>106.812962899995</v>
      </c>
      <c r="AI21">
        <v>106.82706719999899</v>
      </c>
      <c r="AJ21">
        <v>106.82706719999899</v>
      </c>
      <c r="AK21">
        <v>106.82706719999899</v>
      </c>
      <c r="AL21">
        <v>1.95019999955547E-3</v>
      </c>
      <c r="AM21">
        <v>114.010568999998</v>
      </c>
      <c r="AN21" t="s">
        <v>137</v>
      </c>
      <c r="AO21" t="s">
        <v>138</v>
      </c>
      <c r="AP21" t="s">
        <v>139</v>
      </c>
      <c r="AQ21" t="s">
        <v>65</v>
      </c>
      <c r="AR21" t="s">
        <v>66</v>
      </c>
      <c r="AS21" t="s">
        <v>66</v>
      </c>
      <c r="AT21" t="s">
        <v>140</v>
      </c>
      <c r="AU21" t="s">
        <v>68</v>
      </c>
      <c r="AZ21">
        <v>1</v>
      </c>
      <c r="BA21">
        <v>1</v>
      </c>
      <c r="BB21" t="s">
        <v>69</v>
      </c>
      <c r="BC21" t="s">
        <v>70</v>
      </c>
      <c r="BE21" t="s">
        <v>71</v>
      </c>
      <c r="BF21">
        <v>59.943341553050097</v>
      </c>
      <c r="BG21" t="s">
        <v>72</v>
      </c>
    </row>
    <row r="22" spans="2:59" x14ac:dyDescent="0.35">
      <c r="BG22" t="s">
        <v>72</v>
      </c>
    </row>
    <row r="23" spans="2:59" x14ac:dyDescent="0.35">
      <c r="BG23" t="s">
        <v>72</v>
      </c>
    </row>
    <row r="24" spans="2:59" x14ac:dyDescent="0.35">
      <c r="J24" t="s">
        <v>141</v>
      </c>
      <c r="K24">
        <v>14</v>
      </c>
      <c r="L24">
        <f>14/15</f>
        <v>0.93333333333333335</v>
      </c>
      <c r="BG24" t="s">
        <v>72</v>
      </c>
    </row>
    <row r="25" spans="2:59" x14ac:dyDescent="0.35">
      <c r="J25" t="s">
        <v>142</v>
      </c>
      <c r="K25">
        <v>5</v>
      </c>
      <c r="L25">
        <f>5/5</f>
        <v>1</v>
      </c>
      <c r="BG25" t="s">
        <v>72</v>
      </c>
    </row>
    <row r="26" spans="2:59" x14ac:dyDescent="0.35">
      <c r="J26" t="s">
        <v>143</v>
      </c>
      <c r="K26">
        <f>L24-L25</f>
        <v>-6.6666666666666652E-2</v>
      </c>
      <c r="BG26" t="s">
        <v>72</v>
      </c>
    </row>
    <row r="27" spans="2:59" x14ac:dyDescent="0.35">
      <c r="BG27" t="s">
        <v>72</v>
      </c>
    </row>
    <row r="28" spans="2:59" x14ac:dyDescent="0.35">
      <c r="BG28" t="s">
        <v>72</v>
      </c>
    </row>
    <row r="29" spans="2:59" x14ac:dyDescent="0.35">
      <c r="BG29" t="s">
        <v>72</v>
      </c>
    </row>
    <row r="30" spans="2:59" x14ac:dyDescent="0.35">
      <c r="BG30" t="s">
        <v>72</v>
      </c>
    </row>
    <row r="31" spans="2:59" x14ac:dyDescent="0.35">
      <c r="BG31" t="s">
        <v>72</v>
      </c>
    </row>
    <row r="32" spans="2:59" x14ac:dyDescent="0.35">
      <c r="BG32" t="s">
        <v>72</v>
      </c>
    </row>
    <row r="33" spans="59:59" x14ac:dyDescent="0.35">
      <c r="BG33" t="s">
        <v>72</v>
      </c>
    </row>
    <row r="34" spans="59:59" x14ac:dyDescent="0.35">
      <c r="BG34" t="s">
        <v>72</v>
      </c>
    </row>
    <row r="35" spans="59:59" x14ac:dyDescent="0.35">
      <c r="BG35" t="s">
        <v>72</v>
      </c>
    </row>
    <row r="36" spans="59:59" x14ac:dyDescent="0.35">
      <c r="BG3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"/>
  <sheetViews>
    <sheetView topLeftCell="E1" workbookViewId="0">
      <selection activeCell="J23" sqref="J23:J25"/>
    </sheetView>
  </sheetViews>
  <sheetFormatPr defaultRowHeight="14.5" x14ac:dyDescent="0.35"/>
  <cols>
    <col min="10" max="10" width="25.5429687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</row>
    <row r="2" spans="1:55" x14ac:dyDescent="0.35">
      <c r="B2">
        <v>0</v>
      </c>
      <c r="C2">
        <v>0</v>
      </c>
      <c r="D2">
        <v>0</v>
      </c>
      <c r="G2" t="s">
        <v>76</v>
      </c>
      <c r="H2" t="s">
        <v>77</v>
      </c>
      <c r="I2" t="s">
        <v>61</v>
      </c>
      <c r="J2" t="s">
        <v>77</v>
      </c>
      <c r="K2" t="s">
        <v>146</v>
      </c>
      <c r="L2" t="s">
        <v>147</v>
      </c>
      <c r="M2" t="s">
        <v>65</v>
      </c>
      <c r="N2" t="s">
        <v>66</v>
      </c>
      <c r="O2" t="s">
        <v>66</v>
      </c>
      <c r="P2" t="s">
        <v>148</v>
      </c>
      <c r="Q2" t="s">
        <v>68</v>
      </c>
      <c r="V2">
        <v>0</v>
      </c>
      <c r="W2">
        <v>0</v>
      </c>
      <c r="X2">
        <v>0</v>
      </c>
      <c r="Y2">
        <v>14</v>
      </c>
      <c r="Z2">
        <v>23.051881099992801</v>
      </c>
      <c r="AH2">
        <v>23.043106899975101</v>
      </c>
      <c r="AI2">
        <v>23.051881099992801</v>
      </c>
      <c r="AJ2">
        <v>23.051881099992801</v>
      </c>
      <c r="AK2">
        <v>23.051881099992801</v>
      </c>
      <c r="AL2">
        <v>2.0367699995404099E-2</v>
      </c>
      <c r="AM2">
        <v>28.6393504999869</v>
      </c>
      <c r="AN2" t="s">
        <v>77</v>
      </c>
      <c r="AO2" t="s">
        <v>146</v>
      </c>
      <c r="AP2" t="s">
        <v>147</v>
      </c>
      <c r="AQ2" t="s">
        <v>65</v>
      </c>
      <c r="AR2" t="s">
        <v>66</v>
      </c>
      <c r="AS2" t="s">
        <v>66</v>
      </c>
      <c r="AT2" t="s">
        <v>148</v>
      </c>
      <c r="AU2" t="s">
        <v>68</v>
      </c>
      <c r="AV2">
        <v>2</v>
      </c>
      <c r="AW2">
        <v>1</v>
      </c>
      <c r="AX2" t="s">
        <v>144</v>
      </c>
      <c r="AY2" t="s">
        <v>70</v>
      </c>
      <c r="BA2" t="s">
        <v>71</v>
      </c>
      <c r="BB2">
        <v>60.035577077809798</v>
      </c>
      <c r="BC2" t="s">
        <v>145</v>
      </c>
    </row>
    <row r="3" spans="1:55" x14ac:dyDescent="0.35">
      <c r="B3">
        <v>1</v>
      </c>
      <c r="C3">
        <v>1</v>
      </c>
      <c r="D3">
        <v>0</v>
      </c>
      <c r="G3" t="s">
        <v>90</v>
      </c>
      <c r="H3" t="s">
        <v>91</v>
      </c>
      <c r="I3" t="s">
        <v>61</v>
      </c>
      <c r="J3" t="s">
        <v>91</v>
      </c>
      <c r="K3" t="s">
        <v>146</v>
      </c>
      <c r="L3" t="s">
        <v>147</v>
      </c>
      <c r="M3" t="s">
        <v>65</v>
      </c>
      <c r="N3" t="s">
        <v>66</v>
      </c>
      <c r="O3" t="s">
        <v>66</v>
      </c>
      <c r="P3" t="s">
        <v>149</v>
      </c>
      <c r="Q3" t="s">
        <v>68</v>
      </c>
      <c r="V3">
        <v>0</v>
      </c>
      <c r="W3">
        <v>1</v>
      </c>
      <c r="X3">
        <v>1</v>
      </c>
      <c r="Y3">
        <v>1</v>
      </c>
      <c r="Z3">
        <v>28.6543721999914</v>
      </c>
      <c r="AH3">
        <v>28.6426782999769</v>
      </c>
      <c r="AI3">
        <v>28.6543721999914</v>
      </c>
      <c r="AJ3">
        <v>28.6543721999914</v>
      </c>
      <c r="AK3">
        <v>28.6543721999914</v>
      </c>
      <c r="AL3">
        <v>3.16700001712888E-3</v>
      </c>
      <c r="AM3">
        <v>34.988428299984598</v>
      </c>
      <c r="AN3" t="s">
        <v>91</v>
      </c>
      <c r="AO3" t="s">
        <v>146</v>
      </c>
      <c r="AP3" t="s">
        <v>147</v>
      </c>
      <c r="AQ3" t="s">
        <v>65</v>
      </c>
      <c r="AR3" t="s">
        <v>66</v>
      </c>
      <c r="AS3" t="s">
        <v>66</v>
      </c>
      <c r="AT3" t="s">
        <v>149</v>
      </c>
      <c r="AU3" t="s">
        <v>68</v>
      </c>
      <c r="AV3">
        <v>2</v>
      </c>
      <c r="AW3">
        <v>1</v>
      </c>
      <c r="AX3" t="s">
        <v>144</v>
      </c>
      <c r="AY3" t="s">
        <v>70</v>
      </c>
      <c r="BA3" t="s">
        <v>71</v>
      </c>
      <c r="BB3">
        <v>60.035577077809798</v>
      </c>
      <c r="BC3" t="s">
        <v>145</v>
      </c>
    </row>
    <row r="4" spans="1:55" x14ac:dyDescent="0.35">
      <c r="B4">
        <v>2</v>
      </c>
      <c r="C4">
        <v>2</v>
      </c>
      <c r="D4">
        <v>0</v>
      </c>
      <c r="G4" t="s">
        <v>87</v>
      </c>
      <c r="H4" t="s">
        <v>88</v>
      </c>
      <c r="I4" t="s">
        <v>61</v>
      </c>
      <c r="J4" t="s">
        <v>94</v>
      </c>
      <c r="K4" t="s">
        <v>150</v>
      </c>
      <c r="L4" t="s">
        <v>147</v>
      </c>
      <c r="M4" t="s">
        <v>65</v>
      </c>
      <c r="N4" t="s">
        <v>66</v>
      </c>
      <c r="O4" t="s">
        <v>66</v>
      </c>
      <c r="P4" t="s">
        <v>151</v>
      </c>
      <c r="Q4" t="s">
        <v>68</v>
      </c>
      <c r="V4">
        <v>0</v>
      </c>
      <c r="W4">
        <v>2</v>
      </c>
      <c r="X4">
        <v>2</v>
      </c>
      <c r="Y4">
        <v>11</v>
      </c>
      <c r="Z4">
        <v>35.0043654999753</v>
      </c>
      <c r="AH4">
        <v>34.991404000000301</v>
      </c>
      <c r="AI4">
        <v>35.0043654999753</v>
      </c>
      <c r="AJ4">
        <v>35.0043654999753</v>
      </c>
      <c r="AK4">
        <v>35.0043654999753</v>
      </c>
      <c r="AL4">
        <v>2.8555000026244601E-3</v>
      </c>
      <c r="AM4">
        <v>38.805103599996002</v>
      </c>
      <c r="AN4" t="s">
        <v>94</v>
      </c>
      <c r="AO4" t="s">
        <v>150</v>
      </c>
      <c r="AP4" t="s">
        <v>147</v>
      </c>
      <c r="AQ4" t="s">
        <v>65</v>
      </c>
      <c r="AR4" t="s">
        <v>66</v>
      </c>
      <c r="AS4" t="s">
        <v>66</v>
      </c>
      <c r="AT4" t="s">
        <v>151</v>
      </c>
      <c r="AU4" t="s">
        <v>68</v>
      </c>
      <c r="AV4">
        <v>2</v>
      </c>
      <c r="AW4">
        <v>1</v>
      </c>
      <c r="AX4" t="s">
        <v>144</v>
      </c>
      <c r="AY4" t="s">
        <v>70</v>
      </c>
      <c r="BA4" t="s">
        <v>71</v>
      </c>
      <c r="BB4">
        <v>60.035577077809798</v>
      </c>
      <c r="BC4" t="s">
        <v>145</v>
      </c>
    </row>
    <row r="5" spans="1:55" x14ac:dyDescent="0.35">
      <c r="B5">
        <v>3</v>
      </c>
      <c r="C5">
        <v>3</v>
      </c>
      <c r="D5">
        <v>0</v>
      </c>
      <c r="G5" t="s">
        <v>109</v>
      </c>
      <c r="H5" t="s">
        <v>110</v>
      </c>
      <c r="I5" t="s">
        <v>81</v>
      </c>
      <c r="J5" t="s">
        <v>110</v>
      </c>
      <c r="K5" t="s">
        <v>146</v>
      </c>
      <c r="L5" t="s">
        <v>147</v>
      </c>
      <c r="M5" t="s">
        <v>65</v>
      </c>
      <c r="N5" t="s">
        <v>66</v>
      </c>
      <c r="O5" t="s">
        <v>66</v>
      </c>
      <c r="P5" t="s">
        <v>152</v>
      </c>
      <c r="Q5" t="s">
        <v>68</v>
      </c>
      <c r="V5">
        <v>0</v>
      </c>
      <c r="W5">
        <v>3</v>
      </c>
      <c r="X5">
        <v>3</v>
      </c>
      <c r="Y5">
        <v>18</v>
      </c>
      <c r="Z5">
        <v>38.8204743999813</v>
      </c>
      <c r="AH5">
        <v>38.807789599988602</v>
      </c>
      <c r="AI5">
        <v>38.8204743999813</v>
      </c>
      <c r="AJ5">
        <v>38.8204743999813</v>
      </c>
      <c r="AK5">
        <v>38.8204743999813</v>
      </c>
      <c r="AL5">
        <v>2.5182999961543798E-3</v>
      </c>
      <c r="AM5">
        <v>43.471663599979301</v>
      </c>
      <c r="AN5" t="s">
        <v>110</v>
      </c>
      <c r="AO5" t="s">
        <v>146</v>
      </c>
      <c r="AP5" t="s">
        <v>147</v>
      </c>
      <c r="AQ5" t="s">
        <v>65</v>
      </c>
      <c r="AR5" t="s">
        <v>66</v>
      </c>
      <c r="AS5" t="s">
        <v>66</v>
      </c>
      <c r="AT5" t="s">
        <v>152</v>
      </c>
      <c r="AU5" t="s">
        <v>68</v>
      </c>
      <c r="AV5">
        <v>2</v>
      </c>
      <c r="AW5">
        <v>1</v>
      </c>
      <c r="AX5" t="s">
        <v>144</v>
      </c>
      <c r="AY5" t="s">
        <v>70</v>
      </c>
      <c r="BA5" t="s">
        <v>71</v>
      </c>
      <c r="BB5">
        <v>60.035577077809798</v>
      </c>
      <c r="BC5" t="s">
        <v>145</v>
      </c>
    </row>
    <row r="6" spans="1:55" x14ac:dyDescent="0.35">
      <c r="B6">
        <v>4</v>
      </c>
      <c r="C6">
        <v>4</v>
      </c>
      <c r="D6">
        <v>0</v>
      </c>
      <c r="G6" t="s">
        <v>115</v>
      </c>
      <c r="H6" t="s">
        <v>116</v>
      </c>
      <c r="I6" t="s">
        <v>81</v>
      </c>
      <c r="J6" t="s">
        <v>116</v>
      </c>
      <c r="K6" t="s">
        <v>146</v>
      </c>
      <c r="L6" t="s">
        <v>147</v>
      </c>
      <c r="M6" t="s">
        <v>65</v>
      </c>
      <c r="N6" t="s">
        <v>66</v>
      </c>
      <c r="O6" t="s">
        <v>66</v>
      </c>
      <c r="P6" t="s">
        <v>153</v>
      </c>
      <c r="Q6" t="s">
        <v>68</v>
      </c>
      <c r="V6">
        <v>0</v>
      </c>
      <c r="W6">
        <v>4</v>
      </c>
      <c r="X6">
        <v>4</v>
      </c>
      <c r="Y6">
        <v>16</v>
      </c>
      <c r="Z6">
        <v>43.487747499981197</v>
      </c>
      <c r="AH6">
        <v>43.474933299992699</v>
      </c>
      <c r="AI6">
        <v>43.487747499981197</v>
      </c>
      <c r="AJ6">
        <v>43.487747499981197</v>
      </c>
      <c r="AK6">
        <v>43.487747499981197</v>
      </c>
      <c r="AL6">
        <v>3.15199999022297E-3</v>
      </c>
      <c r="AM6">
        <v>48.937667799997101</v>
      </c>
      <c r="AN6" t="s">
        <v>116</v>
      </c>
      <c r="AO6" t="s">
        <v>146</v>
      </c>
      <c r="AP6" t="s">
        <v>147</v>
      </c>
      <c r="AQ6" t="s">
        <v>65</v>
      </c>
      <c r="AR6" t="s">
        <v>66</v>
      </c>
      <c r="AS6" t="s">
        <v>66</v>
      </c>
      <c r="AT6" t="s">
        <v>153</v>
      </c>
      <c r="AU6" t="s">
        <v>68</v>
      </c>
      <c r="AV6">
        <v>2</v>
      </c>
      <c r="AW6">
        <v>1</v>
      </c>
      <c r="AX6" t="s">
        <v>144</v>
      </c>
      <c r="AY6" t="s">
        <v>70</v>
      </c>
      <c r="BA6" t="s">
        <v>71</v>
      </c>
      <c r="BB6">
        <v>60.035577077809798</v>
      </c>
      <c r="BC6" t="s">
        <v>145</v>
      </c>
    </row>
    <row r="7" spans="1:55" x14ac:dyDescent="0.35">
      <c r="B7">
        <v>5</v>
      </c>
      <c r="C7">
        <v>5</v>
      </c>
      <c r="D7">
        <v>0</v>
      </c>
      <c r="G7" t="s">
        <v>83</v>
      </c>
      <c r="H7" t="s">
        <v>84</v>
      </c>
      <c r="I7" t="s">
        <v>61</v>
      </c>
      <c r="J7" t="s">
        <v>85</v>
      </c>
      <c r="K7" t="s">
        <v>146</v>
      </c>
      <c r="L7" t="s">
        <v>147</v>
      </c>
      <c r="M7" t="s">
        <v>65</v>
      </c>
      <c r="N7" t="s">
        <v>66</v>
      </c>
      <c r="O7" t="s">
        <v>66</v>
      </c>
      <c r="P7" t="s">
        <v>154</v>
      </c>
      <c r="Q7" t="s">
        <v>68</v>
      </c>
      <c r="V7">
        <v>0</v>
      </c>
      <c r="W7">
        <v>5</v>
      </c>
      <c r="X7">
        <v>5</v>
      </c>
      <c r="Y7">
        <v>2</v>
      </c>
      <c r="Z7">
        <v>48.953291199984903</v>
      </c>
      <c r="AH7">
        <v>48.939745899988303</v>
      </c>
      <c r="AI7">
        <v>48.953291199984903</v>
      </c>
      <c r="AJ7">
        <v>48.953291199984903</v>
      </c>
      <c r="AK7">
        <v>48.953291199984903</v>
      </c>
      <c r="AL7">
        <v>2.0127999887336002E-3</v>
      </c>
      <c r="AM7">
        <v>53.837150399980601</v>
      </c>
      <c r="AN7" t="s">
        <v>85</v>
      </c>
      <c r="AO7" t="s">
        <v>146</v>
      </c>
      <c r="AP7" t="s">
        <v>147</v>
      </c>
      <c r="AQ7" t="s">
        <v>65</v>
      </c>
      <c r="AR7" t="s">
        <v>66</v>
      </c>
      <c r="AS7" t="s">
        <v>66</v>
      </c>
      <c r="AT7" t="s">
        <v>154</v>
      </c>
      <c r="AU7" t="s">
        <v>68</v>
      </c>
      <c r="AV7">
        <v>2</v>
      </c>
      <c r="AW7">
        <v>1</v>
      </c>
      <c r="AX7" t="s">
        <v>144</v>
      </c>
      <c r="AY7" t="s">
        <v>70</v>
      </c>
      <c r="BA7" t="s">
        <v>71</v>
      </c>
      <c r="BB7">
        <v>60.035577077809798</v>
      </c>
      <c r="BC7" t="s">
        <v>145</v>
      </c>
    </row>
    <row r="8" spans="1:55" x14ac:dyDescent="0.35">
      <c r="B8">
        <v>6</v>
      </c>
      <c r="C8">
        <v>6</v>
      </c>
      <c r="D8">
        <v>0</v>
      </c>
      <c r="G8" t="s">
        <v>101</v>
      </c>
      <c r="H8" t="s">
        <v>102</v>
      </c>
      <c r="I8" t="s">
        <v>61</v>
      </c>
      <c r="J8" t="s">
        <v>102</v>
      </c>
      <c r="K8" t="s">
        <v>155</v>
      </c>
      <c r="L8" t="s">
        <v>156</v>
      </c>
      <c r="M8" t="s">
        <v>65</v>
      </c>
      <c r="N8" t="s">
        <v>66</v>
      </c>
      <c r="O8" t="s">
        <v>66</v>
      </c>
      <c r="P8" t="s">
        <v>157</v>
      </c>
      <c r="Q8" t="s">
        <v>68</v>
      </c>
      <c r="V8">
        <v>0</v>
      </c>
      <c r="W8">
        <v>6</v>
      </c>
      <c r="X8">
        <v>6</v>
      </c>
      <c r="Y8">
        <v>6</v>
      </c>
      <c r="Z8">
        <v>53.853512299974597</v>
      </c>
      <c r="AH8">
        <v>53.839515499974297</v>
      </c>
      <c r="AI8">
        <v>53.853512299974597</v>
      </c>
      <c r="AJ8">
        <v>53.853512299974597</v>
      </c>
      <c r="AK8">
        <v>53.853512299974597</v>
      </c>
      <c r="AL8">
        <v>2.2880000178702102E-3</v>
      </c>
      <c r="AM8">
        <v>59.7703867999953</v>
      </c>
      <c r="AN8" t="s">
        <v>102</v>
      </c>
      <c r="AO8" t="s">
        <v>155</v>
      </c>
      <c r="AP8" t="s">
        <v>156</v>
      </c>
      <c r="AQ8" t="s">
        <v>65</v>
      </c>
      <c r="AR8" t="s">
        <v>66</v>
      </c>
      <c r="AS8" t="s">
        <v>66</v>
      </c>
      <c r="AT8" t="s">
        <v>157</v>
      </c>
      <c r="AU8" t="s">
        <v>68</v>
      </c>
      <c r="AV8">
        <v>2</v>
      </c>
      <c r="AW8">
        <v>1</v>
      </c>
      <c r="AX8" t="s">
        <v>144</v>
      </c>
      <c r="AY8" t="s">
        <v>70</v>
      </c>
      <c r="BA8" t="s">
        <v>71</v>
      </c>
      <c r="BB8">
        <v>60.035577077809798</v>
      </c>
      <c r="BC8" t="s">
        <v>145</v>
      </c>
    </row>
    <row r="9" spans="1:55" x14ac:dyDescent="0.35">
      <c r="B9">
        <v>7</v>
      </c>
      <c r="C9">
        <v>7</v>
      </c>
      <c r="D9">
        <v>0</v>
      </c>
      <c r="G9" t="s">
        <v>136</v>
      </c>
      <c r="H9" t="s">
        <v>137</v>
      </c>
      <c r="I9" t="s">
        <v>61</v>
      </c>
      <c r="J9" t="s">
        <v>137</v>
      </c>
      <c r="K9" t="s">
        <v>158</v>
      </c>
      <c r="L9" t="s">
        <v>134</v>
      </c>
      <c r="M9" t="s">
        <v>65</v>
      </c>
      <c r="N9" t="s">
        <v>66</v>
      </c>
      <c r="O9" t="s">
        <v>66</v>
      </c>
      <c r="P9" t="s">
        <v>159</v>
      </c>
      <c r="Q9" t="s">
        <v>68</v>
      </c>
      <c r="V9">
        <v>0</v>
      </c>
      <c r="W9">
        <v>7</v>
      </c>
      <c r="X9">
        <v>7</v>
      </c>
      <c r="Y9">
        <v>10</v>
      </c>
      <c r="Z9">
        <v>59.786414999980401</v>
      </c>
      <c r="AH9">
        <v>59.772860799974197</v>
      </c>
      <c r="AI9">
        <v>59.786414999980401</v>
      </c>
      <c r="AJ9">
        <v>59.786414999980401</v>
      </c>
      <c r="AK9">
        <v>59.786414999980401</v>
      </c>
      <c r="AL9">
        <v>2.4030999920796599E-3</v>
      </c>
      <c r="AM9">
        <v>66.136970799998295</v>
      </c>
      <c r="AN9" t="s">
        <v>137</v>
      </c>
      <c r="AO9" t="s">
        <v>158</v>
      </c>
      <c r="AP9" t="s">
        <v>134</v>
      </c>
      <c r="AQ9" t="s">
        <v>65</v>
      </c>
      <c r="AR9" t="s">
        <v>66</v>
      </c>
      <c r="AS9" t="s">
        <v>66</v>
      </c>
      <c r="AT9" t="s">
        <v>159</v>
      </c>
      <c r="AU9" t="s">
        <v>68</v>
      </c>
      <c r="AV9">
        <v>2</v>
      </c>
      <c r="AW9">
        <v>1</v>
      </c>
      <c r="AX9" t="s">
        <v>144</v>
      </c>
      <c r="AY9" t="s">
        <v>70</v>
      </c>
      <c r="BA9" t="s">
        <v>71</v>
      </c>
      <c r="BB9">
        <v>60.035577077809798</v>
      </c>
      <c r="BC9" t="s">
        <v>145</v>
      </c>
    </row>
    <row r="10" spans="1:55" x14ac:dyDescent="0.35">
      <c r="B10">
        <v>8</v>
      </c>
      <c r="C10">
        <v>8</v>
      </c>
      <c r="D10">
        <v>0</v>
      </c>
      <c r="G10" t="s">
        <v>125</v>
      </c>
      <c r="H10" t="s">
        <v>126</v>
      </c>
      <c r="I10" t="s">
        <v>61</v>
      </c>
      <c r="J10" t="s">
        <v>126</v>
      </c>
      <c r="K10" t="s">
        <v>158</v>
      </c>
      <c r="L10" t="s">
        <v>134</v>
      </c>
      <c r="M10" t="s">
        <v>65</v>
      </c>
      <c r="N10" t="s">
        <v>66</v>
      </c>
      <c r="O10" t="s">
        <v>66</v>
      </c>
      <c r="P10" t="s">
        <v>160</v>
      </c>
      <c r="Q10" t="s">
        <v>68</v>
      </c>
      <c r="V10">
        <v>0</v>
      </c>
      <c r="W10">
        <v>8</v>
      </c>
      <c r="X10">
        <v>8</v>
      </c>
      <c r="Y10">
        <v>3</v>
      </c>
      <c r="Z10">
        <v>66.152534199994903</v>
      </c>
      <c r="AH10">
        <v>66.139004899974594</v>
      </c>
      <c r="AI10">
        <v>66.152534199994903</v>
      </c>
      <c r="AJ10">
        <v>66.152534199994903</v>
      </c>
      <c r="AK10">
        <v>66.152534199994903</v>
      </c>
      <c r="AL10">
        <v>1.75690001924522E-3</v>
      </c>
      <c r="AM10">
        <v>69.087021999992402</v>
      </c>
      <c r="AN10" t="s">
        <v>126</v>
      </c>
      <c r="AO10" t="s">
        <v>158</v>
      </c>
      <c r="AP10" t="s">
        <v>134</v>
      </c>
      <c r="AQ10" t="s">
        <v>65</v>
      </c>
      <c r="AR10" t="s">
        <v>66</v>
      </c>
      <c r="AS10" t="s">
        <v>66</v>
      </c>
      <c r="AT10" t="s">
        <v>160</v>
      </c>
      <c r="AU10" t="s">
        <v>68</v>
      </c>
      <c r="AV10">
        <v>2</v>
      </c>
      <c r="AW10">
        <v>1</v>
      </c>
      <c r="AX10" t="s">
        <v>144</v>
      </c>
      <c r="AY10" t="s">
        <v>70</v>
      </c>
      <c r="BA10" t="s">
        <v>71</v>
      </c>
      <c r="BB10">
        <v>60.035577077809798</v>
      </c>
      <c r="BC10" t="s">
        <v>145</v>
      </c>
    </row>
    <row r="11" spans="1:55" x14ac:dyDescent="0.35">
      <c r="B11">
        <v>9</v>
      </c>
      <c r="C11">
        <v>9</v>
      </c>
      <c r="D11">
        <v>0</v>
      </c>
      <c r="G11" t="s">
        <v>128</v>
      </c>
      <c r="H11" t="s">
        <v>129</v>
      </c>
      <c r="I11" t="s">
        <v>61</v>
      </c>
      <c r="J11" t="s">
        <v>129</v>
      </c>
      <c r="K11" t="s">
        <v>155</v>
      </c>
      <c r="L11" t="s">
        <v>161</v>
      </c>
      <c r="M11" t="s">
        <v>65</v>
      </c>
      <c r="N11" t="s">
        <v>66</v>
      </c>
      <c r="O11" t="s">
        <v>66</v>
      </c>
      <c r="P11" t="s">
        <v>162</v>
      </c>
      <c r="Q11" t="s">
        <v>68</v>
      </c>
      <c r="V11">
        <v>0</v>
      </c>
      <c r="W11">
        <v>9</v>
      </c>
      <c r="X11">
        <v>9</v>
      </c>
      <c r="Y11">
        <v>5</v>
      </c>
      <c r="Z11">
        <v>69.102516499988198</v>
      </c>
      <c r="AH11">
        <v>69.089723699988099</v>
      </c>
      <c r="AI11">
        <v>69.102516499988198</v>
      </c>
      <c r="AJ11">
        <v>69.102516499988198</v>
      </c>
      <c r="AK11">
        <v>69.102516499988198</v>
      </c>
      <c r="AL11">
        <v>2.5843000039458201E-3</v>
      </c>
      <c r="AM11">
        <v>73.103604499978204</v>
      </c>
      <c r="AN11" t="s">
        <v>129</v>
      </c>
      <c r="AO11" t="s">
        <v>155</v>
      </c>
      <c r="AP11" t="s">
        <v>161</v>
      </c>
      <c r="AQ11" t="s">
        <v>65</v>
      </c>
      <c r="AR11" t="s">
        <v>66</v>
      </c>
      <c r="AS11" t="s">
        <v>66</v>
      </c>
      <c r="AT11" t="s">
        <v>162</v>
      </c>
      <c r="AU11" t="s">
        <v>68</v>
      </c>
      <c r="AV11">
        <v>2</v>
      </c>
      <c r="AW11">
        <v>1</v>
      </c>
      <c r="AX11" t="s">
        <v>144</v>
      </c>
      <c r="AY11" t="s">
        <v>70</v>
      </c>
      <c r="BA11" t="s">
        <v>71</v>
      </c>
      <c r="BB11">
        <v>60.035577077809798</v>
      </c>
      <c r="BC11" t="s">
        <v>145</v>
      </c>
    </row>
    <row r="12" spans="1:55" x14ac:dyDescent="0.35">
      <c r="B12">
        <v>10</v>
      </c>
      <c r="C12">
        <v>10</v>
      </c>
      <c r="D12">
        <v>0</v>
      </c>
      <c r="G12" t="s">
        <v>131</v>
      </c>
      <c r="H12" t="s">
        <v>132</v>
      </c>
      <c r="I12" t="s">
        <v>81</v>
      </c>
      <c r="J12" t="s">
        <v>132</v>
      </c>
      <c r="K12" t="s">
        <v>155</v>
      </c>
      <c r="L12" t="s">
        <v>161</v>
      </c>
      <c r="M12" t="s">
        <v>65</v>
      </c>
      <c r="N12" t="s">
        <v>66</v>
      </c>
      <c r="O12" t="s">
        <v>66</v>
      </c>
      <c r="P12" t="s">
        <v>163</v>
      </c>
      <c r="Q12" t="s">
        <v>68</v>
      </c>
      <c r="V12">
        <v>0</v>
      </c>
      <c r="W12">
        <v>10</v>
      </c>
      <c r="X12">
        <v>10</v>
      </c>
      <c r="Y12">
        <v>19</v>
      </c>
      <c r="Z12">
        <v>73.119131799990996</v>
      </c>
      <c r="AH12">
        <v>73.107031799998296</v>
      </c>
      <c r="AI12">
        <v>73.119131799990996</v>
      </c>
      <c r="AJ12">
        <v>73.119131799990996</v>
      </c>
      <c r="AK12">
        <v>73.119131799990996</v>
      </c>
      <c r="AL12">
        <v>3.2992000051308402E-3</v>
      </c>
      <c r="AM12">
        <v>75.853611599974101</v>
      </c>
      <c r="AN12" t="s">
        <v>132</v>
      </c>
      <c r="AO12" t="s">
        <v>155</v>
      </c>
      <c r="AP12" t="s">
        <v>161</v>
      </c>
      <c r="AQ12" t="s">
        <v>65</v>
      </c>
      <c r="AR12" t="s">
        <v>66</v>
      </c>
      <c r="AS12" t="s">
        <v>66</v>
      </c>
      <c r="AT12" t="s">
        <v>163</v>
      </c>
      <c r="AU12" t="s">
        <v>68</v>
      </c>
      <c r="AV12">
        <v>2</v>
      </c>
      <c r="AW12">
        <v>1</v>
      </c>
      <c r="AX12" t="s">
        <v>144</v>
      </c>
      <c r="AY12" t="s">
        <v>70</v>
      </c>
      <c r="BA12" t="s">
        <v>71</v>
      </c>
      <c r="BB12">
        <v>60.035577077809798</v>
      </c>
      <c r="BC12" t="s">
        <v>145</v>
      </c>
    </row>
    <row r="13" spans="1:55" x14ac:dyDescent="0.35">
      <c r="B13">
        <v>11</v>
      </c>
      <c r="C13">
        <v>11</v>
      </c>
      <c r="D13">
        <v>0</v>
      </c>
      <c r="G13" t="s">
        <v>112</v>
      </c>
      <c r="H13" t="s">
        <v>113</v>
      </c>
      <c r="I13" t="s">
        <v>61</v>
      </c>
      <c r="J13" t="s">
        <v>113</v>
      </c>
      <c r="K13" t="s">
        <v>155</v>
      </c>
      <c r="L13" t="s">
        <v>161</v>
      </c>
      <c r="M13" t="s">
        <v>65</v>
      </c>
      <c r="N13" t="s">
        <v>66</v>
      </c>
      <c r="O13" t="s">
        <v>66</v>
      </c>
      <c r="P13" t="s">
        <v>164</v>
      </c>
      <c r="Q13" t="s">
        <v>68</v>
      </c>
      <c r="V13">
        <v>0</v>
      </c>
      <c r="W13">
        <v>11</v>
      </c>
      <c r="X13">
        <v>11</v>
      </c>
      <c r="Y13">
        <v>8</v>
      </c>
      <c r="Z13">
        <v>75.869269299990194</v>
      </c>
      <c r="AH13">
        <v>75.857449799979804</v>
      </c>
      <c r="AI13">
        <v>75.869269299990194</v>
      </c>
      <c r="AJ13">
        <v>75.869269299990194</v>
      </c>
      <c r="AK13">
        <v>75.869269299990194</v>
      </c>
      <c r="AL13">
        <v>3.8553000194951801E-3</v>
      </c>
      <c r="AM13">
        <v>79.319741499988595</v>
      </c>
      <c r="AN13" t="s">
        <v>113</v>
      </c>
      <c r="AO13" t="s">
        <v>155</v>
      </c>
      <c r="AP13" t="s">
        <v>161</v>
      </c>
      <c r="AQ13" t="s">
        <v>65</v>
      </c>
      <c r="AR13" t="s">
        <v>66</v>
      </c>
      <c r="AS13" t="s">
        <v>66</v>
      </c>
      <c r="AT13" t="s">
        <v>164</v>
      </c>
      <c r="AU13" t="s">
        <v>68</v>
      </c>
      <c r="AV13">
        <v>2</v>
      </c>
      <c r="AW13">
        <v>1</v>
      </c>
      <c r="AX13" t="s">
        <v>144</v>
      </c>
      <c r="AY13" t="s">
        <v>70</v>
      </c>
      <c r="BA13" t="s">
        <v>71</v>
      </c>
      <c r="BB13">
        <v>60.035577077809798</v>
      </c>
      <c r="BC13" t="s">
        <v>145</v>
      </c>
    </row>
    <row r="14" spans="1:55" x14ac:dyDescent="0.35">
      <c r="B14">
        <v>12</v>
      </c>
      <c r="C14">
        <v>12</v>
      </c>
      <c r="D14">
        <v>0</v>
      </c>
      <c r="G14" t="s">
        <v>79</v>
      </c>
      <c r="H14" t="s">
        <v>80</v>
      </c>
      <c r="I14" t="s">
        <v>81</v>
      </c>
      <c r="J14" t="s">
        <v>165</v>
      </c>
      <c r="K14" t="s">
        <v>155</v>
      </c>
      <c r="L14" t="s">
        <v>161</v>
      </c>
      <c r="M14" t="s">
        <v>65</v>
      </c>
      <c r="N14" t="s">
        <v>66</v>
      </c>
      <c r="O14" t="s">
        <v>66</v>
      </c>
      <c r="P14" t="s">
        <v>166</v>
      </c>
      <c r="Q14" t="s">
        <v>68</v>
      </c>
      <c r="V14">
        <v>0</v>
      </c>
      <c r="W14">
        <v>12</v>
      </c>
      <c r="X14">
        <v>12</v>
      </c>
      <c r="Y14">
        <v>17</v>
      </c>
      <c r="Z14">
        <v>79.335511699988203</v>
      </c>
      <c r="AH14">
        <v>79.324588299990793</v>
      </c>
      <c r="AI14">
        <v>79.335511699988203</v>
      </c>
      <c r="AJ14">
        <v>79.335511699988203</v>
      </c>
      <c r="AK14">
        <v>79.335511699988203</v>
      </c>
      <c r="AL14">
        <v>4.7360999742522801E-3</v>
      </c>
      <c r="AM14">
        <v>85.819534799986201</v>
      </c>
      <c r="AN14" t="s">
        <v>165</v>
      </c>
      <c r="AO14" t="s">
        <v>155</v>
      </c>
      <c r="AP14" t="s">
        <v>161</v>
      </c>
      <c r="AQ14" t="s">
        <v>65</v>
      </c>
      <c r="AR14" t="s">
        <v>66</v>
      </c>
      <c r="AS14" t="s">
        <v>66</v>
      </c>
      <c r="AT14" t="s">
        <v>166</v>
      </c>
      <c r="AU14" t="s">
        <v>68</v>
      </c>
      <c r="AV14">
        <v>2</v>
      </c>
      <c r="AW14">
        <v>1</v>
      </c>
      <c r="AX14" t="s">
        <v>144</v>
      </c>
      <c r="AY14" t="s">
        <v>70</v>
      </c>
      <c r="BA14" t="s">
        <v>71</v>
      </c>
      <c r="BB14">
        <v>60.035577077809798</v>
      </c>
      <c r="BC14" t="s">
        <v>145</v>
      </c>
    </row>
    <row r="15" spans="1:55" x14ac:dyDescent="0.35">
      <c r="B15">
        <v>13</v>
      </c>
      <c r="C15">
        <v>13</v>
      </c>
      <c r="D15">
        <v>0</v>
      </c>
      <c r="G15" t="s">
        <v>93</v>
      </c>
      <c r="H15" t="s">
        <v>94</v>
      </c>
      <c r="I15" t="s">
        <v>81</v>
      </c>
      <c r="J15" t="s">
        <v>167</v>
      </c>
      <c r="K15" t="s">
        <v>155</v>
      </c>
      <c r="L15" t="s">
        <v>161</v>
      </c>
      <c r="M15" t="s">
        <v>65</v>
      </c>
      <c r="N15" t="s">
        <v>66</v>
      </c>
      <c r="O15" t="s">
        <v>66</v>
      </c>
      <c r="P15" t="s">
        <v>168</v>
      </c>
      <c r="Q15" t="s">
        <v>68</v>
      </c>
      <c r="V15">
        <v>0</v>
      </c>
      <c r="W15">
        <v>13</v>
      </c>
      <c r="X15">
        <v>13</v>
      </c>
      <c r="Y15">
        <v>15</v>
      </c>
      <c r="Z15">
        <v>85.835146699973805</v>
      </c>
      <c r="AH15">
        <v>85.822621799976304</v>
      </c>
      <c r="AI15">
        <v>85.835146699973805</v>
      </c>
      <c r="AJ15">
        <v>85.835146699973805</v>
      </c>
      <c r="AK15">
        <v>85.835146699973805</v>
      </c>
      <c r="AL15">
        <v>2.98019999172538E-3</v>
      </c>
      <c r="AM15">
        <v>89.036824099981402</v>
      </c>
      <c r="AN15" t="s">
        <v>167</v>
      </c>
      <c r="AO15" t="s">
        <v>155</v>
      </c>
      <c r="AP15" t="s">
        <v>161</v>
      </c>
      <c r="AQ15" t="s">
        <v>65</v>
      </c>
      <c r="AR15" t="s">
        <v>66</v>
      </c>
      <c r="AS15" t="s">
        <v>66</v>
      </c>
      <c r="AT15" t="s">
        <v>168</v>
      </c>
      <c r="AU15" t="s">
        <v>68</v>
      </c>
      <c r="AV15">
        <v>2</v>
      </c>
      <c r="AW15">
        <v>1</v>
      </c>
      <c r="AX15" t="s">
        <v>144</v>
      </c>
      <c r="AY15" t="s">
        <v>70</v>
      </c>
      <c r="BA15" t="s">
        <v>71</v>
      </c>
      <c r="BB15">
        <v>60.035577077809798</v>
      </c>
      <c r="BC15" t="s">
        <v>145</v>
      </c>
    </row>
    <row r="16" spans="1:55" x14ac:dyDescent="0.35">
      <c r="B16">
        <v>14</v>
      </c>
      <c r="C16">
        <v>14</v>
      </c>
      <c r="D16">
        <v>0</v>
      </c>
      <c r="G16" t="s">
        <v>73</v>
      </c>
      <c r="H16" t="s">
        <v>74</v>
      </c>
      <c r="I16" t="s">
        <v>61</v>
      </c>
      <c r="J16" t="s">
        <v>74</v>
      </c>
      <c r="K16" t="s">
        <v>155</v>
      </c>
      <c r="L16" t="s">
        <v>161</v>
      </c>
      <c r="M16" t="s">
        <v>65</v>
      </c>
      <c r="N16" t="s">
        <v>66</v>
      </c>
      <c r="O16" t="s">
        <v>66</v>
      </c>
      <c r="P16" t="s">
        <v>169</v>
      </c>
      <c r="Q16" t="s">
        <v>68</v>
      </c>
      <c r="V16">
        <v>0</v>
      </c>
      <c r="W16">
        <v>14</v>
      </c>
      <c r="X16">
        <v>14</v>
      </c>
      <c r="Y16">
        <v>0</v>
      </c>
      <c r="Z16">
        <v>89.051514599996096</v>
      </c>
      <c r="AH16">
        <v>89.039678699977202</v>
      </c>
      <c r="AI16">
        <v>89.051514599996096</v>
      </c>
      <c r="AJ16">
        <v>89.051514599996096</v>
      </c>
      <c r="AK16">
        <v>89.051514599996096</v>
      </c>
      <c r="AL16">
        <v>2.7803999837487901E-3</v>
      </c>
      <c r="AM16">
        <v>92.168943500000694</v>
      </c>
      <c r="AN16" t="s">
        <v>74</v>
      </c>
      <c r="AO16" t="s">
        <v>155</v>
      </c>
      <c r="AP16" t="s">
        <v>161</v>
      </c>
      <c r="AQ16" t="s">
        <v>65</v>
      </c>
      <c r="AR16" t="s">
        <v>66</v>
      </c>
      <c r="AS16" t="s">
        <v>66</v>
      </c>
      <c r="AT16" t="s">
        <v>169</v>
      </c>
      <c r="AU16" t="s">
        <v>68</v>
      </c>
      <c r="AV16">
        <v>2</v>
      </c>
      <c r="AW16">
        <v>1</v>
      </c>
      <c r="AX16" t="s">
        <v>144</v>
      </c>
      <c r="AY16" t="s">
        <v>70</v>
      </c>
      <c r="BA16" t="s">
        <v>71</v>
      </c>
      <c r="BB16">
        <v>60.035577077809798</v>
      </c>
      <c r="BC16" t="s">
        <v>145</v>
      </c>
    </row>
    <row r="17" spans="2:55" x14ac:dyDescent="0.35">
      <c r="B17">
        <v>15</v>
      </c>
      <c r="C17">
        <v>15</v>
      </c>
      <c r="D17">
        <v>0</v>
      </c>
      <c r="G17" t="s">
        <v>118</v>
      </c>
      <c r="H17" t="s">
        <v>119</v>
      </c>
      <c r="I17" t="s">
        <v>61</v>
      </c>
      <c r="J17" t="s">
        <v>119</v>
      </c>
      <c r="K17" t="s">
        <v>155</v>
      </c>
      <c r="L17" t="s">
        <v>161</v>
      </c>
      <c r="M17" t="s">
        <v>65</v>
      </c>
      <c r="N17" t="s">
        <v>66</v>
      </c>
      <c r="O17" t="s">
        <v>66</v>
      </c>
      <c r="P17" t="s">
        <v>170</v>
      </c>
      <c r="Q17" t="s">
        <v>68</v>
      </c>
      <c r="V17">
        <v>0</v>
      </c>
      <c r="W17">
        <v>15</v>
      </c>
      <c r="X17">
        <v>15</v>
      </c>
      <c r="Y17">
        <v>9</v>
      </c>
      <c r="Z17">
        <v>92.184674099989905</v>
      </c>
      <c r="AH17">
        <v>92.171435399999595</v>
      </c>
      <c r="AI17">
        <v>92.184674099989905</v>
      </c>
      <c r="AJ17">
        <v>92.184674099989905</v>
      </c>
      <c r="AK17">
        <v>92.184674099989905</v>
      </c>
      <c r="AL17">
        <v>2.4015000090003001E-3</v>
      </c>
      <c r="AM17">
        <v>100.985382899991</v>
      </c>
      <c r="AN17" t="s">
        <v>119</v>
      </c>
      <c r="AO17" t="s">
        <v>155</v>
      </c>
      <c r="AP17" t="s">
        <v>161</v>
      </c>
      <c r="AQ17" t="s">
        <v>65</v>
      </c>
      <c r="AR17" t="s">
        <v>66</v>
      </c>
      <c r="AS17" t="s">
        <v>66</v>
      </c>
      <c r="AT17" t="s">
        <v>170</v>
      </c>
      <c r="AU17" t="s">
        <v>68</v>
      </c>
      <c r="AV17">
        <v>2</v>
      </c>
      <c r="AW17">
        <v>1</v>
      </c>
      <c r="AX17" t="s">
        <v>144</v>
      </c>
      <c r="AY17" t="s">
        <v>70</v>
      </c>
      <c r="BA17" t="s">
        <v>71</v>
      </c>
      <c r="BB17">
        <v>60.035577077809798</v>
      </c>
      <c r="BC17" t="s">
        <v>145</v>
      </c>
    </row>
    <row r="18" spans="2:55" x14ac:dyDescent="0.35">
      <c r="B18">
        <v>16</v>
      </c>
      <c r="C18">
        <v>16</v>
      </c>
      <c r="D18">
        <v>0</v>
      </c>
      <c r="G18" t="s">
        <v>104</v>
      </c>
      <c r="H18" t="s">
        <v>105</v>
      </c>
      <c r="I18" t="s">
        <v>61</v>
      </c>
      <c r="J18" t="s">
        <v>105</v>
      </c>
      <c r="K18" t="s">
        <v>171</v>
      </c>
      <c r="L18" t="s">
        <v>172</v>
      </c>
      <c r="M18" t="s">
        <v>65</v>
      </c>
      <c r="N18" t="s">
        <v>66</v>
      </c>
      <c r="O18" t="s">
        <v>66</v>
      </c>
      <c r="P18" t="s">
        <v>173</v>
      </c>
      <c r="Q18" t="s">
        <v>68</v>
      </c>
      <c r="V18">
        <v>0</v>
      </c>
      <c r="W18">
        <v>16</v>
      </c>
      <c r="X18">
        <v>16</v>
      </c>
      <c r="Y18">
        <v>7</v>
      </c>
      <c r="Z18">
        <v>101.000846899987</v>
      </c>
      <c r="AH18">
        <v>100.987360300001</v>
      </c>
      <c r="AI18">
        <v>101.000846899987</v>
      </c>
      <c r="AJ18">
        <v>101.000846899987</v>
      </c>
      <c r="AK18">
        <v>101.000846899987</v>
      </c>
      <c r="AL18">
        <v>1.9075000018347001E-3</v>
      </c>
      <c r="AM18">
        <v>104.48659559999901</v>
      </c>
      <c r="AN18" t="s">
        <v>105</v>
      </c>
      <c r="AO18" t="s">
        <v>171</v>
      </c>
      <c r="AP18" t="s">
        <v>172</v>
      </c>
      <c r="AQ18" t="s">
        <v>65</v>
      </c>
      <c r="AR18" t="s">
        <v>66</v>
      </c>
      <c r="AS18" t="s">
        <v>66</v>
      </c>
      <c r="AT18" t="s">
        <v>173</v>
      </c>
      <c r="AU18" t="s">
        <v>68</v>
      </c>
      <c r="AV18">
        <v>2</v>
      </c>
      <c r="AW18">
        <v>1</v>
      </c>
      <c r="AX18" t="s">
        <v>144</v>
      </c>
      <c r="AY18" t="s">
        <v>70</v>
      </c>
      <c r="BA18" t="s">
        <v>71</v>
      </c>
      <c r="BB18">
        <v>60.035577077809798</v>
      </c>
      <c r="BC18" t="s">
        <v>145</v>
      </c>
    </row>
    <row r="19" spans="2:55" x14ac:dyDescent="0.35">
      <c r="B19">
        <v>17</v>
      </c>
      <c r="C19">
        <v>17</v>
      </c>
      <c r="D19">
        <v>0</v>
      </c>
      <c r="G19" t="s">
        <v>122</v>
      </c>
      <c r="H19" t="s">
        <v>120</v>
      </c>
      <c r="I19" t="s">
        <v>61</v>
      </c>
      <c r="J19" t="s">
        <v>120</v>
      </c>
      <c r="K19" t="s">
        <v>174</v>
      </c>
      <c r="L19" t="s">
        <v>172</v>
      </c>
      <c r="M19" t="s">
        <v>65</v>
      </c>
      <c r="N19" t="s">
        <v>66</v>
      </c>
      <c r="O19" t="s">
        <v>66</v>
      </c>
      <c r="P19" t="s">
        <v>175</v>
      </c>
      <c r="Q19" t="s">
        <v>68</v>
      </c>
      <c r="V19">
        <v>0</v>
      </c>
      <c r="W19">
        <v>17</v>
      </c>
      <c r="X19">
        <v>17</v>
      </c>
      <c r="Y19">
        <v>4</v>
      </c>
      <c r="Z19">
        <v>104.500836099992</v>
      </c>
      <c r="AH19">
        <v>104.49162059999</v>
      </c>
      <c r="AI19">
        <v>104.500836099992</v>
      </c>
      <c r="AJ19">
        <v>104.500836099992</v>
      </c>
      <c r="AK19">
        <v>104.500836099992</v>
      </c>
      <c r="AL19">
        <v>4.86099999397993E-3</v>
      </c>
      <c r="AM19">
        <v>108.068136699992</v>
      </c>
      <c r="AN19" t="s">
        <v>120</v>
      </c>
      <c r="AO19" t="s">
        <v>174</v>
      </c>
      <c r="AP19" t="s">
        <v>172</v>
      </c>
      <c r="AQ19" t="s">
        <v>65</v>
      </c>
      <c r="AR19" t="s">
        <v>66</v>
      </c>
      <c r="AS19" t="s">
        <v>66</v>
      </c>
      <c r="AT19" t="s">
        <v>175</v>
      </c>
      <c r="AU19" t="s">
        <v>68</v>
      </c>
      <c r="AV19">
        <v>2</v>
      </c>
      <c r="AW19">
        <v>1</v>
      </c>
      <c r="AX19" t="s">
        <v>144</v>
      </c>
      <c r="AY19" t="s">
        <v>70</v>
      </c>
      <c r="BA19" t="s">
        <v>71</v>
      </c>
      <c r="BB19">
        <v>60.035577077809798</v>
      </c>
      <c r="BC19" t="s">
        <v>145</v>
      </c>
    </row>
    <row r="20" spans="2:55" x14ac:dyDescent="0.35">
      <c r="B20">
        <v>18</v>
      </c>
      <c r="C20">
        <v>18</v>
      </c>
      <c r="D20">
        <v>0</v>
      </c>
      <c r="G20" t="s">
        <v>59</v>
      </c>
      <c r="H20" t="s">
        <v>60</v>
      </c>
      <c r="I20" t="s">
        <v>61</v>
      </c>
      <c r="J20" t="s">
        <v>62</v>
      </c>
      <c r="K20" t="s">
        <v>171</v>
      </c>
      <c r="L20" t="s">
        <v>172</v>
      </c>
      <c r="M20" t="s">
        <v>65</v>
      </c>
      <c r="N20" t="s">
        <v>66</v>
      </c>
      <c r="O20" t="s">
        <v>66</v>
      </c>
      <c r="P20" t="s">
        <v>176</v>
      </c>
      <c r="Q20" t="s">
        <v>68</v>
      </c>
      <c r="V20">
        <v>0</v>
      </c>
      <c r="W20">
        <v>18</v>
      </c>
      <c r="X20">
        <v>18</v>
      </c>
      <c r="Y20">
        <v>12</v>
      </c>
      <c r="Z20">
        <v>108.08385199998099</v>
      </c>
      <c r="AH20">
        <v>108.07129359999</v>
      </c>
      <c r="AI20">
        <v>108.08385199998099</v>
      </c>
      <c r="AJ20">
        <v>108.08385199998099</v>
      </c>
      <c r="AK20">
        <v>108.08385199998099</v>
      </c>
      <c r="AL20">
        <v>3.0196000006981099E-3</v>
      </c>
      <c r="AM20">
        <v>110.918808299989</v>
      </c>
      <c r="AN20" t="s">
        <v>62</v>
      </c>
      <c r="AO20" t="s">
        <v>171</v>
      </c>
      <c r="AP20" t="s">
        <v>172</v>
      </c>
      <c r="AQ20" t="s">
        <v>65</v>
      </c>
      <c r="AR20" t="s">
        <v>66</v>
      </c>
      <c r="AS20" t="s">
        <v>66</v>
      </c>
      <c r="AT20" t="s">
        <v>176</v>
      </c>
      <c r="AU20" t="s">
        <v>68</v>
      </c>
      <c r="AV20">
        <v>2</v>
      </c>
      <c r="AW20">
        <v>1</v>
      </c>
      <c r="AX20" t="s">
        <v>144</v>
      </c>
      <c r="AY20" t="s">
        <v>70</v>
      </c>
      <c r="BA20" t="s">
        <v>71</v>
      </c>
      <c r="BB20">
        <v>60.035577077809798</v>
      </c>
      <c r="BC20" t="s">
        <v>145</v>
      </c>
    </row>
    <row r="21" spans="2:55" x14ac:dyDescent="0.35">
      <c r="B21">
        <v>19</v>
      </c>
      <c r="C21">
        <v>19</v>
      </c>
      <c r="D21">
        <v>0</v>
      </c>
      <c r="G21" t="s">
        <v>96</v>
      </c>
      <c r="H21" t="s">
        <v>97</v>
      </c>
      <c r="I21" t="s">
        <v>61</v>
      </c>
      <c r="J21" t="s">
        <v>177</v>
      </c>
      <c r="K21" t="s">
        <v>171</v>
      </c>
      <c r="L21" t="s">
        <v>172</v>
      </c>
      <c r="M21" t="s">
        <v>65</v>
      </c>
      <c r="N21" t="s">
        <v>66</v>
      </c>
      <c r="O21" t="s">
        <v>66</v>
      </c>
      <c r="P21" t="s">
        <v>178</v>
      </c>
      <c r="Q21" t="s">
        <v>68</v>
      </c>
      <c r="V21">
        <v>0</v>
      </c>
      <c r="W21">
        <v>19</v>
      </c>
      <c r="X21">
        <v>19</v>
      </c>
      <c r="Y21">
        <v>13</v>
      </c>
      <c r="Z21">
        <v>110.933699199988</v>
      </c>
      <c r="AH21">
        <v>110.923039799992</v>
      </c>
      <c r="AI21">
        <v>110.933699199988</v>
      </c>
      <c r="AJ21">
        <v>110.933699199988</v>
      </c>
      <c r="AK21">
        <v>110.933699199988</v>
      </c>
      <c r="AL21">
        <v>3.97430002340115E-3</v>
      </c>
      <c r="AM21">
        <v>114.051163399999</v>
      </c>
      <c r="AN21" t="s">
        <v>177</v>
      </c>
      <c r="AO21" t="s">
        <v>171</v>
      </c>
      <c r="AP21" t="s">
        <v>172</v>
      </c>
      <c r="AQ21" t="s">
        <v>65</v>
      </c>
      <c r="AR21" t="s">
        <v>66</v>
      </c>
      <c r="AS21" t="s">
        <v>66</v>
      </c>
      <c r="AT21" t="s">
        <v>178</v>
      </c>
      <c r="AU21" t="s">
        <v>68</v>
      </c>
      <c r="AV21">
        <v>2</v>
      </c>
      <c r="AW21">
        <v>1</v>
      </c>
      <c r="AX21" t="s">
        <v>144</v>
      </c>
      <c r="AY21" t="s">
        <v>70</v>
      </c>
      <c r="BA21" t="s">
        <v>71</v>
      </c>
      <c r="BB21">
        <v>60.035577077809798</v>
      </c>
      <c r="BC21" t="s">
        <v>145</v>
      </c>
    </row>
    <row r="23" spans="2:55" x14ac:dyDescent="0.35">
      <c r="J23" t="s">
        <v>141</v>
      </c>
      <c r="K23">
        <v>12</v>
      </c>
      <c r="L23" s="1">
        <f>12/15</f>
        <v>0.8</v>
      </c>
    </row>
    <row r="24" spans="2:55" x14ac:dyDescent="0.35">
      <c r="J24" t="s">
        <v>142</v>
      </c>
      <c r="K24">
        <v>3</v>
      </c>
      <c r="L24">
        <f>3/5</f>
        <v>0.6</v>
      </c>
    </row>
    <row r="25" spans="2:55" x14ac:dyDescent="0.35">
      <c r="J25" t="s">
        <v>143</v>
      </c>
      <c r="K25" s="1">
        <f>L23-L24</f>
        <v>0.20000000000000007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"/>
  <sheetViews>
    <sheetView topLeftCell="F1" workbookViewId="0">
      <selection activeCell="J23" sqref="J23:J25"/>
    </sheetView>
  </sheetViews>
  <sheetFormatPr defaultRowHeight="14.5" x14ac:dyDescent="0.35"/>
  <cols>
    <col min="10" max="10" width="25.179687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</row>
    <row r="2" spans="1:55" x14ac:dyDescent="0.35">
      <c r="B2">
        <v>0</v>
      </c>
      <c r="C2">
        <v>0</v>
      </c>
      <c r="D2">
        <v>0</v>
      </c>
      <c r="G2" t="s">
        <v>101</v>
      </c>
      <c r="H2" t="s">
        <v>102</v>
      </c>
      <c r="I2" t="s">
        <v>61</v>
      </c>
      <c r="J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185</v>
      </c>
      <c r="P2" t="s">
        <v>186</v>
      </c>
      <c r="Q2" t="s">
        <v>187</v>
      </c>
      <c r="V2">
        <v>0</v>
      </c>
      <c r="W2">
        <v>0</v>
      </c>
      <c r="X2">
        <v>0</v>
      </c>
      <c r="Y2">
        <v>6</v>
      </c>
      <c r="Z2">
        <v>14.2343151000095</v>
      </c>
      <c r="AH2">
        <v>14.224072399985699</v>
      </c>
      <c r="AI2">
        <v>14.2343151000095</v>
      </c>
      <c r="AJ2">
        <v>14.2343151000095</v>
      </c>
      <c r="AK2">
        <v>14.2343151000095</v>
      </c>
      <c r="AL2">
        <v>1.67900000233203E-2</v>
      </c>
      <c r="AM2">
        <v>18.757011999987299</v>
      </c>
      <c r="AN2" t="s">
        <v>181</v>
      </c>
      <c r="AO2" t="s">
        <v>182</v>
      </c>
      <c r="AP2" t="s">
        <v>183</v>
      </c>
      <c r="AQ2" t="s">
        <v>184</v>
      </c>
      <c r="AR2" t="s">
        <v>185</v>
      </c>
      <c r="AS2" t="s">
        <v>185</v>
      </c>
      <c r="AT2" t="s">
        <v>186</v>
      </c>
      <c r="AU2" t="s">
        <v>187</v>
      </c>
      <c r="AV2">
        <v>3</v>
      </c>
      <c r="AW2">
        <v>1</v>
      </c>
      <c r="AX2" t="s">
        <v>179</v>
      </c>
      <c r="AY2" t="s">
        <v>70</v>
      </c>
      <c r="BA2" t="s">
        <v>71</v>
      </c>
      <c r="BB2">
        <v>59.927966586810797</v>
      </c>
      <c r="BC2" t="s">
        <v>180</v>
      </c>
    </row>
    <row r="3" spans="1:55" x14ac:dyDescent="0.35">
      <c r="B3">
        <v>1</v>
      </c>
      <c r="C3">
        <v>1</v>
      </c>
      <c r="D3">
        <v>0</v>
      </c>
      <c r="G3" t="s">
        <v>90</v>
      </c>
      <c r="H3" t="s">
        <v>91</v>
      </c>
      <c r="I3" t="s">
        <v>61</v>
      </c>
      <c r="J3" t="s">
        <v>91</v>
      </c>
      <c r="K3" t="s">
        <v>188</v>
      </c>
      <c r="L3" t="s">
        <v>189</v>
      </c>
      <c r="M3" t="s">
        <v>65</v>
      </c>
      <c r="N3" t="s">
        <v>66</v>
      </c>
      <c r="O3" t="s">
        <v>66</v>
      </c>
      <c r="P3" t="s">
        <v>190</v>
      </c>
      <c r="Q3" t="s">
        <v>68</v>
      </c>
      <c r="V3">
        <v>0</v>
      </c>
      <c r="W3">
        <v>1</v>
      </c>
      <c r="X3">
        <v>1</v>
      </c>
      <c r="Y3">
        <v>1</v>
      </c>
      <c r="Z3">
        <v>18.772446499991901</v>
      </c>
      <c r="AH3">
        <v>18.7592253999901</v>
      </c>
      <c r="AI3">
        <v>18.772446499991901</v>
      </c>
      <c r="AJ3">
        <v>18.772446499991901</v>
      </c>
      <c r="AK3">
        <v>18.772446499991901</v>
      </c>
      <c r="AL3">
        <v>2.08109998493455E-3</v>
      </c>
      <c r="AM3">
        <v>22.206445199990402</v>
      </c>
      <c r="AN3" t="s">
        <v>91</v>
      </c>
      <c r="AO3" t="s">
        <v>188</v>
      </c>
      <c r="AP3" t="s">
        <v>189</v>
      </c>
      <c r="AQ3" t="s">
        <v>65</v>
      </c>
      <c r="AR3" t="s">
        <v>66</v>
      </c>
      <c r="AS3" t="s">
        <v>66</v>
      </c>
      <c r="AT3" t="s">
        <v>190</v>
      </c>
      <c r="AU3" t="s">
        <v>68</v>
      </c>
      <c r="AV3">
        <v>3</v>
      </c>
      <c r="AW3">
        <v>1</v>
      </c>
      <c r="AX3" t="s">
        <v>179</v>
      </c>
      <c r="AY3" t="s">
        <v>70</v>
      </c>
      <c r="BA3" t="s">
        <v>71</v>
      </c>
      <c r="BB3">
        <v>59.927966586810797</v>
      </c>
      <c r="BC3" t="s">
        <v>180</v>
      </c>
    </row>
    <row r="4" spans="1:55" x14ac:dyDescent="0.35">
      <c r="B4">
        <v>2</v>
      </c>
      <c r="C4">
        <v>2</v>
      </c>
      <c r="D4">
        <v>0</v>
      </c>
      <c r="G4" t="s">
        <v>73</v>
      </c>
      <c r="H4" t="s">
        <v>74</v>
      </c>
      <c r="I4" t="s">
        <v>61</v>
      </c>
      <c r="J4" t="s">
        <v>74</v>
      </c>
      <c r="K4" t="s">
        <v>191</v>
      </c>
      <c r="L4" t="s">
        <v>189</v>
      </c>
      <c r="M4" t="s">
        <v>65</v>
      </c>
      <c r="N4" t="s">
        <v>66</v>
      </c>
      <c r="O4" t="s">
        <v>66</v>
      </c>
      <c r="P4" t="s">
        <v>192</v>
      </c>
      <c r="Q4" t="s">
        <v>68</v>
      </c>
      <c r="V4">
        <v>0</v>
      </c>
      <c r="W4">
        <v>2</v>
      </c>
      <c r="X4">
        <v>2</v>
      </c>
      <c r="Y4">
        <v>0</v>
      </c>
      <c r="Z4">
        <v>22.222495900001299</v>
      </c>
      <c r="AH4">
        <v>22.2087841999891</v>
      </c>
      <c r="AI4">
        <v>22.222495900001299</v>
      </c>
      <c r="AJ4">
        <v>22.222495900001299</v>
      </c>
      <c r="AK4">
        <v>22.222495900001299</v>
      </c>
      <c r="AL4">
        <v>2.2408000077120899E-3</v>
      </c>
      <c r="AM4">
        <v>25.756800400005801</v>
      </c>
      <c r="AN4" t="s">
        <v>74</v>
      </c>
      <c r="AO4" t="s">
        <v>191</v>
      </c>
      <c r="AP4" t="s">
        <v>189</v>
      </c>
      <c r="AQ4" t="s">
        <v>65</v>
      </c>
      <c r="AR4" t="s">
        <v>66</v>
      </c>
      <c r="AS4" t="s">
        <v>66</v>
      </c>
      <c r="AT4" t="s">
        <v>192</v>
      </c>
      <c r="AU4" t="s">
        <v>68</v>
      </c>
      <c r="AV4">
        <v>3</v>
      </c>
      <c r="AW4">
        <v>1</v>
      </c>
      <c r="AX4" t="s">
        <v>179</v>
      </c>
      <c r="AY4" t="s">
        <v>70</v>
      </c>
      <c r="BA4" t="s">
        <v>71</v>
      </c>
      <c r="BB4">
        <v>59.927966586810797</v>
      </c>
      <c r="BC4" t="s">
        <v>180</v>
      </c>
    </row>
    <row r="5" spans="1:55" x14ac:dyDescent="0.35">
      <c r="B5">
        <v>3</v>
      </c>
      <c r="C5">
        <v>3</v>
      </c>
      <c r="D5">
        <v>0</v>
      </c>
      <c r="G5" t="s">
        <v>83</v>
      </c>
      <c r="H5" t="s">
        <v>84</v>
      </c>
      <c r="I5" t="s">
        <v>61</v>
      </c>
      <c r="J5" t="s">
        <v>85</v>
      </c>
      <c r="K5" t="s">
        <v>191</v>
      </c>
      <c r="L5" t="s">
        <v>189</v>
      </c>
      <c r="M5" t="s">
        <v>65</v>
      </c>
      <c r="N5" t="s">
        <v>66</v>
      </c>
      <c r="O5" t="s">
        <v>66</v>
      </c>
      <c r="P5" t="s">
        <v>193</v>
      </c>
      <c r="Q5" t="s">
        <v>68</v>
      </c>
      <c r="V5">
        <v>0</v>
      </c>
      <c r="W5">
        <v>3</v>
      </c>
      <c r="X5">
        <v>3</v>
      </c>
      <c r="Y5">
        <v>2</v>
      </c>
      <c r="Z5">
        <v>25.772420199995299</v>
      </c>
      <c r="AH5">
        <v>25.7607621999923</v>
      </c>
      <c r="AI5">
        <v>25.772420199995299</v>
      </c>
      <c r="AJ5">
        <v>25.772420199995299</v>
      </c>
      <c r="AK5">
        <v>25.772420199995299</v>
      </c>
      <c r="AL5">
        <v>3.8339000020641799E-3</v>
      </c>
      <c r="AM5">
        <v>33.272937500005298</v>
      </c>
      <c r="AN5" t="s">
        <v>85</v>
      </c>
      <c r="AO5" t="s">
        <v>191</v>
      </c>
      <c r="AP5" t="s">
        <v>189</v>
      </c>
      <c r="AQ5" t="s">
        <v>65</v>
      </c>
      <c r="AR5" t="s">
        <v>66</v>
      </c>
      <c r="AS5" t="s">
        <v>66</v>
      </c>
      <c r="AT5" t="s">
        <v>193</v>
      </c>
      <c r="AU5" t="s">
        <v>68</v>
      </c>
      <c r="AV5">
        <v>3</v>
      </c>
      <c r="AW5">
        <v>1</v>
      </c>
      <c r="AX5" t="s">
        <v>179</v>
      </c>
      <c r="AY5" t="s">
        <v>70</v>
      </c>
      <c r="BA5" t="s">
        <v>71</v>
      </c>
      <c r="BB5">
        <v>59.927966586810797</v>
      </c>
      <c r="BC5" t="s">
        <v>180</v>
      </c>
    </row>
    <row r="6" spans="1:55" x14ac:dyDescent="0.35">
      <c r="B6">
        <v>4</v>
      </c>
      <c r="C6">
        <v>4</v>
      </c>
      <c r="D6">
        <v>0</v>
      </c>
      <c r="G6" t="s">
        <v>118</v>
      </c>
      <c r="H6" t="s">
        <v>119</v>
      </c>
      <c r="I6" t="s">
        <v>61</v>
      </c>
      <c r="J6" t="s">
        <v>194</v>
      </c>
      <c r="K6" t="s">
        <v>191</v>
      </c>
      <c r="L6" t="s">
        <v>189</v>
      </c>
      <c r="M6" t="s">
        <v>65</v>
      </c>
      <c r="N6" t="s">
        <v>66</v>
      </c>
      <c r="O6" t="s">
        <v>66</v>
      </c>
      <c r="P6" t="s">
        <v>195</v>
      </c>
      <c r="Q6" t="s">
        <v>68</v>
      </c>
      <c r="V6">
        <v>0</v>
      </c>
      <c r="W6">
        <v>4</v>
      </c>
      <c r="X6">
        <v>4</v>
      </c>
      <c r="Y6">
        <v>9</v>
      </c>
      <c r="Z6">
        <v>33.288679499993997</v>
      </c>
      <c r="AH6">
        <v>33.276588899985597</v>
      </c>
      <c r="AI6">
        <v>33.288679499993997</v>
      </c>
      <c r="AJ6">
        <v>33.288679499993997</v>
      </c>
      <c r="AK6">
        <v>33.288679499993997</v>
      </c>
      <c r="AL6">
        <v>3.5259000142104902E-3</v>
      </c>
      <c r="AM6">
        <v>37.856485800002702</v>
      </c>
      <c r="AN6" t="s">
        <v>194</v>
      </c>
      <c r="AO6" t="s">
        <v>191</v>
      </c>
      <c r="AP6" t="s">
        <v>189</v>
      </c>
      <c r="AQ6" t="s">
        <v>65</v>
      </c>
      <c r="AR6" t="s">
        <v>66</v>
      </c>
      <c r="AS6" t="s">
        <v>66</v>
      </c>
      <c r="AT6" t="s">
        <v>195</v>
      </c>
      <c r="AU6" t="s">
        <v>68</v>
      </c>
      <c r="AV6">
        <v>3</v>
      </c>
      <c r="AW6">
        <v>1</v>
      </c>
      <c r="AX6" t="s">
        <v>179</v>
      </c>
      <c r="AY6" t="s">
        <v>70</v>
      </c>
      <c r="BA6" t="s">
        <v>71</v>
      </c>
      <c r="BB6">
        <v>59.927966586810797</v>
      </c>
      <c r="BC6" t="s">
        <v>180</v>
      </c>
    </row>
    <row r="7" spans="1:55" x14ac:dyDescent="0.35">
      <c r="B7">
        <v>5</v>
      </c>
      <c r="C7">
        <v>5</v>
      </c>
      <c r="D7">
        <v>0</v>
      </c>
      <c r="G7" t="s">
        <v>79</v>
      </c>
      <c r="H7" t="s">
        <v>80</v>
      </c>
      <c r="I7" t="s">
        <v>81</v>
      </c>
      <c r="J7" t="s">
        <v>80</v>
      </c>
      <c r="K7" t="s">
        <v>191</v>
      </c>
      <c r="L7" t="s">
        <v>189</v>
      </c>
      <c r="M7" t="s">
        <v>65</v>
      </c>
      <c r="N7" t="s">
        <v>66</v>
      </c>
      <c r="O7" t="s">
        <v>66</v>
      </c>
      <c r="P7" t="s">
        <v>196</v>
      </c>
      <c r="Q7" t="s">
        <v>68</v>
      </c>
      <c r="V7">
        <v>0</v>
      </c>
      <c r="W7">
        <v>5</v>
      </c>
      <c r="X7">
        <v>5</v>
      </c>
      <c r="Y7">
        <v>17</v>
      </c>
      <c r="Z7">
        <v>37.871745100011999</v>
      </c>
      <c r="AH7">
        <v>37.861391899990799</v>
      </c>
      <c r="AI7">
        <v>37.871745100011999</v>
      </c>
      <c r="AJ7">
        <v>37.871745100011999</v>
      </c>
      <c r="AK7">
        <v>37.871745100011999</v>
      </c>
      <c r="AL7">
        <v>4.79450001148507E-3</v>
      </c>
      <c r="AM7">
        <v>40.372875400003899</v>
      </c>
      <c r="AN7" t="s">
        <v>80</v>
      </c>
      <c r="AO7" t="s">
        <v>191</v>
      </c>
      <c r="AP7" t="s">
        <v>189</v>
      </c>
      <c r="AQ7" t="s">
        <v>65</v>
      </c>
      <c r="AR7" t="s">
        <v>66</v>
      </c>
      <c r="AS7" t="s">
        <v>66</v>
      </c>
      <c r="AT7" t="s">
        <v>196</v>
      </c>
      <c r="AU7" t="s">
        <v>68</v>
      </c>
      <c r="AV7">
        <v>3</v>
      </c>
      <c r="AW7">
        <v>1</v>
      </c>
      <c r="AX7" t="s">
        <v>179</v>
      </c>
      <c r="AY7" t="s">
        <v>70</v>
      </c>
      <c r="BA7" t="s">
        <v>71</v>
      </c>
      <c r="BB7">
        <v>59.927966586810797</v>
      </c>
      <c r="BC7" t="s">
        <v>180</v>
      </c>
    </row>
    <row r="8" spans="1:55" x14ac:dyDescent="0.35">
      <c r="B8">
        <v>6</v>
      </c>
      <c r="C8">
        <v>6</v>
      </c>
      <c r="D8">
        <v>0</v>
      </c>
      <c r="G8" t="s">
        <v>59</v>
      </c>
      <c r="H8" t="s">
        <v>60</v>
      </c>
      <c r="I8" t="s">
        <v>61</v>
      </c>
      <c r="J8" t="s">
        <v>197</v>
      </c>
      <c r="K8" t="s">
        <v>191</v>
      </c>
      <c r="L8" t="s">
        <v>189</v>
      </c>
      <c r="M8" t="s">
        <v>65</v>
      </c>
      <c r="N8" t="s">
        <v>66</v>
      </c>
      <c r="O8" t="s">
        <v>66</v>
      </c>
      <c r="P8" t="s">
        <v>198</v>
      </c>
      <c r="Q8" t="s">
        <v>68</v>
      </c>
      <c r="V8">
        <v>0</v>
      </c>
      <c r="W8">
        <v>6</v>
      </c>
      <c r="X8">
        <v>6</v>
      </c>
      <c r="Y8">
        <v>12</v>
      </c>
      <c r="Z8">
        <v>40.388226300012299</v>
      </c>
      <c r="AH8">
        <v>40.376159100007499</v>
      </c>
      <c r="AI8">
        <v>40.388226300012299</v>
      </c>
      <c r="AJ8">
        <v>40.388226300012299</v>
      </c>
      <c r="AK8">
        <v>40.388226300012299</v>
      </c>
      <c r="AL8">
        <v>3.1417999998666298E-3</v>
      </c>
      <c r="AM8">
        <v>46.388984699995397</v>
      </c>
      <c r="AN8" t="s">
        <v>197</v>
      </c>
      <c r="AO8" t="s">
        <v>191</v>
      </c>
      <c r="AP8" t="s">
        <v>189</v>
      </c>
      <c r="AQ8" t="s">
        <v>65</v>
      </c>
      <c r="AR8" t="s">
        <v>66</v>
      </c>
      <c r="AS8" t="s">
        <v>66</v>
      </c>
      <c r="AT8" t="s">
        <v>198</v>
      </c>
      <c r="AU8" t="s">
        <v>68</v>
      </c>
      <c r="AV8">
        <v>3</v>
      </c>
      <c r="AW8">
        <v>1</v>
      </c>
      <c r="AX8" t="s">
        <v>179</v>
      </c>
      <c r="AY8" t="s">
        <v>70</v>
      </c>
      <c r="BA8" t="s">
        <v>71</v>
      </c>
      <c r="BB8">
        <v>59.927966586810797</v>
      </c>
      <c r="BC8" t="s">
        <v>180</v>
      </c>
    </row>
    <row r="9" spans="1:55" x14ac:dyDescent="0.35">
      <c r="B9">
        <v>7</v>
      </c>
      <c r="C9">
        <v>7</v>
      </c>
      <c r="D9">
        <v>0</v>
      </c>
      <c r="G9" t="s">
        <v>93</v>
      </c>
      <c r="H9" t="s">
        <v>94</v>
      </c>
      <c r="I9" t="s">
        <v>81</v>
      </c>
      <c r="J9" t="s">
        <v>94</v>
      </c>
      <c r="K9" t="s">
        <v>191</v>
      </c>
      <c r="L9" t="s">
        <v>189</v>
      </c>
      <c r="M9" t="s">
        <v>65</v>
      </c>
      <c r="N9" t="s">
        <v>66</v>
      </c>
      <c r="O9" t="s">
        <v>66</v>
      </c>
      <c r="P9" t="s">
        <v>199</v>
      </c>
      <c r="Q9" t="s">
        <v>68</v>
      </c>
      <c r="V9">
        <v>0</v>
      </c>
      <c r="W9">
        <v>7</v>
      </c>
      <c r="X9">
        <v>7</v>
      </c>
      <c r="Y9">
        <v>15</v>
      </c>
      <c r="Z9">
        <v>46.404547399986697</v>
      </c>
      <c r="AH9">
        <v>46.394049900001797</v>
      </c>
      <c r="AI9">
        <v>46.404547399986697</v>
      </c>
      <c r="AJ9">
        <v>46.404547399986697</v>
      </c>
      <c r="AK9">
        <v>46.404547399986697</v>
      </c>
      <c r="AL9">
        <v>4.9059000157285404E-3</v>
      </c>
      <c r="AM9">
        <v>50.622270699997898</v>
      </c>
      <c r="AN9" t="s">
        <v>94</v>
      </c>
      <c r="AO9" t="s">
        <v>191</v>
      </c>
      <c r="AP9" t="s">
        <v>189</v>
      </c>
      <c r="AQ9" t="s">
        <v>65</v>
      </c>
      <c r="AR9" t="s">
        <v>66</v>
      </c>
      <c r="AS9" t="s">
        <v>66</v>
      </c>
      <c r="AT9" t="s">
        <v>199</v>
      </c>
      <c r="AU9" t="s">
        <v>68</v>
      </c>
      <c r="AV9">
        <v>3</v>
      </c>
      <c r="AW9">
        <v>1</v>
      </c>
      <c r="AX9" t="s">
        <v>179</v>
      </c>
      <c r="AY9" t="s">
        <v>70</v>
      </c>
      <c r="BA9" t="s">
        <v>71</v>
      </c>
      <c r="BB9">
        <v>59.927966586810797</v>
      </c>
      <c r="BC9" t="s">
        <v>180</v>
      </c>
    </row>
    <row r="10" spans="1:55" x14ac:dyDescent="0.35">
      <c r="B10">
        <v>8</v>
      </c>
      <c r="C10">
        <v>8</v>
      </c>
      <c r="D10">
        <v>0</v>
      </c>
      <c r="G10" t="s">
        <v>125</v>
      </c>
      <c r="H10" t="s">
        <v>126</v>
      </c>
      <c r="I10" t="s">
        <v>61</v>
      </c>
      <c r="J10" t="s">
        <v>200</v>
      </c>
      <c r="K10" t="s">
        <v>191</v>
      </c>
      <c r="L10" t="s">
        <v>189</v>
      </c>
      <c r="M10" t="s">
        <v>65</v>
      </c>
      <c r="N10" t="s">
        <v>66</v>
      </c>
      <c r="O10" t="s">
        <v>66</v>
      </c>
      <c r="P10" t="s">
        <v>201</v>
      </c>
      <c r="Q10" t="s">
        <v>68</v>
      </c>
      <c r="V10">
        <v>0</v>
      </c>
      <c r="W10">
        <v>8</v>
      </c>
      <c r="X10">
        <v>8</v>
      </c>
      <c r="Y10">
        <v>3</v>
      </c>
      <c r="Z10">
        <v>50.637958100007303</v>
      </c>
      <c r="AH10">
        <v>50.625463600008501</v>
      </c>
      <c r="AI10">
        <v>50.637958100007303</v>
      </c>
      <c r="AJ10">
        <v>50.637958100007303</v>
      </c>
      <c r="AK10">
        <v>50.637958100007303</v>
      </c>
      <c r="AL10">
        <v>3.06590000400319E-3</v>
      </c>
      <c r="AM10">
        <v>58.188708100002202</v>
      </c>
      <c r="AN10" t="s">
        <v>200</v>
      </c>
      <c r="AO10" t="s">
        <v>191</v>
      </c>
      <c r="AP10" t="s">
        <v>189</v>
      </c>
      <c r="AQ10" t="s">
        <v>65</v>
      </c>
      <c r="AR10" t="s">
        <v>66</v>
      </c>
      <c r="AS10" t="s">
        <v>66</v>
      </c>
      <c r="AT10" t="s">
        <v>201</v>
      </c>
      <c r="AU10" t="s">
        <v>68</v>
      </c>
      <c r="AV10">
        <v>3</v>
      </c>
      <c r="AW10">
        <v>1</v>
      </c>
      <c r="AX10" t="s">
        <v>179</v>
      </c>
      <c r="AY10" t="s">
        <v>70</v>
      </c>
      <c r="BA10" t="s">
        <v>71</v>
      </c>
      <c r="BB10">
        <v>59.927966586810797</v>
      </c>
      <c r="BC10" t="s">
        <v>180</v>
      </c>
    </row>
    <row r="11" spans="1:55" x14ac:dyDescent="0.35">
      <c r="B11">
        <v>9</v>
      </c>
      <c r="C11">
        <v>9</v>
      </c>
      <c r="D11">
        <v>0</v>
      </c>
      <c r="G11" t="s">
        <v>136</v>
      </c>
      <c r="H11" t="s">
        <v>137</v>
      </c>
      <c r="I11" t="s">
        <v>61</v>
      </c>
      <c r="J11" t="s">
        <v>137</v>
      </c>
      <c r="K11" t="s">
        <v>191</v>
      </c>
      <c r="L11" t="s">
        <v>189</v>
      </c>
      <c r="M11" t="s">
        <v>65</v>
      </c>
      <c r="N11" t="s">
        <v>66</v>
      </c>
      <c r="O11" t="s">
        <v>66</v>
      </c>
      <c r="P11" t="s">
        <v>202</v>
      </c>
      <c r="Q11" t="s">
        <v>68</v>
      </c>
      <c r="V11">
        <v>0</v>
      </c>
      <c r="W11">
        <v>9</v>
      </c>
      <c r="X11">
        <v>9</v>
      </c>
      <c r="Y11">
        <v>10</v>
      </c>
      <c r="Z11">
        <v>58.204148599994298</v>
      </c>
      <c r="AH11">
        <v>58.1920734999876</v>
      </c>
      <c r="AI11">
        <v>58.204148599994298</v>
      </c>
      <c r="AJ11">
        <v>58.204148599994298</v>
      </c>
      <c r="AK11">
        <v>58.204148599994298</v>
      </c>
      <c r="AL11">
        <v>3.2608000037726002E-3</v>
      </c>
      <c r="AM11">
        <v>63.104280500003298</v>
      </c>
      <c r="AN11" t="s">
        <v>137</v>
      </c>
      <c r="AO11" t="s">
        <v>191</v>
      </c>
      <c r="AP11" t="s">
        <v>189</v>
      </c>
      <c r="AQ11" t="s">
        <v>65</v>
      </c>
      <c r="AR11" t="s">
        <v>66</v>
      </c>
      <c r="AS11" t="s">
        <v>66</v>
      </c>
      <c r="AT11" t="s">
        <v>202</v>
      </c>
      <c r="AU11" t="s">
        <v>68</v>
      </c>
      <c r="AV11">
        <v>3</v>
      </c>
      <c r="AW11">
        <v>1</v>
      </c>
      <c r="AX11" t="s">
        <v>179</v>
      </c>
      <c r="AY11" t="s">
        <v>70</v>
      </c>
      <c r="BA11" t="s">
        <v>71</v>
      </c>
      <c r="BB11">
        <v>59.927966586810797</v>
      </c>
      <c r="BC11" t="s">
        <v>180</v>
      </c>
    </row>
    <row r="12" spans="1:55" x14ac:dyDescent="0.35">
      <c r="B12">
        <v>10</v>
      </c>
      <c r="C12">
        <v>10</v>
      </c>
      <c r="D12">
        <v>0</v>
      </c>
      <c r="G12" t="s">
        <v>131</v>
      </c>
      <c r="H12" t="s">
        <v>132</v>
      </c>
      <c r="I12" t="s">
        <v>81</v>
      </c>
      <c r="J12" t="s">
        <v>132</v>
      </c>
      <c r="K12" t="s">
        <v>191</v>
      </c>
      <c r="L12" t="s">
        <v>189</v>
      </c>
      <c r="M12" t="s">
        <v>65</v>
      </c>
      <c r="N12" t="s">
        <v>66</v>
      </c>
      <c r="O12" t="s">
        <v>66</v>
      </c>
      <c r="P12" t="s">
        <v>203</v>
      </c>
      <c r="Q12" t="s">
        <v>68</v>
      </c>
      <c r="V12">
        <v>0</v>
      </c>
      <c r="W12">
        <v>10</v>
      </c>
      <c r="X12">
        <v>10</v>
      </c>
      <c r="Y12">
        <v>19</v>
      </c>
      <c r="Z12">
        <v>63.120383200002799</v>
      </c>
      <c r="AH12">
        <v>63.105846099992</v>
      </c>
      <c r="AI12">
        <v>63.120383200002799</v>
      </c>
      <c r="AJ12">
        <v>63.120383200002799</v>
      </c>
      <c r="AK12">
        <v>63.120383200002799</v>
      </c>
      <c r="AL12">
        <v>1.50310000753961E-3</v>
      </c>
      <c r="AM12">
        <v>65.972103100008098</v>
      </c>
      <c r="AN12" t="s">
        <v>132</v>
      </c>
      <c r="AO12" t="s">
        <v>191</v>
      </c>
      <c r="AP12" t="s">
        <v>189</v>
      </c>
      <c r="AQ12" t="s">
        <v>65</v>
      </c>
      <c r="AR12" t="s">
        <v>66</v>
      </c>
      <c r="AS12" t="s">
        <v>66</v>
      </c>
      <c r="AT12" t="s">
        <v>203</v>
      </c>
      <c r="AU12" t="s">
        <v>68</v>
      </c>
      <c r="AV12">
        <v>3</v>
      </c>
      <c r="AW12">
        <v>1</v>
      </c>
      <c r="AX12" t="s">
        <v>179</v>
      </c>
      <c r="AY12" t="s">
        <v>70</v>
      </c>
      <c r="BA12" t="s">
        <v>71</v>
      </c>
      <c r="BB12">
        <v>59.927966586810797</v>
      </c>
      <c r="BC12" t="s">
        <v>180</v>
      </c>
    </row>
    <row r="13" spans="1:55" x14ac:dyDescent="0.35">
      <c r="B13">
        <v>11</v>
      </c>
      <c r="C13">
        <v>11</v>
      </c>
      <c r="D13">
        <v>0</v>
      </c>
      <c r="G13" t="s">
        <v>128</v>
      </c>
      <c r="H13" t="s">
        <v>129</v>
      </c>
      <c r="I13" t="s">
        <v>61</v>
      </c>
      <c r="J13" t="s">
        <v>129</v>
      </c>
      <c r="K13" t="s">
        <v>204</v>
      </c>
      <c r="L13" t="s">
        <v>139</v>
      </c>
      <c r="M13" t="s">
        <v>65</v>
      </c>
      <c r="N13" t="s">
        <v>66</v>
      </c>
      <c r="O13" t="s">
        <v>66</v>
      </c>
      <c r="P13" t="s">
        <v>205</v>
      </c>
      <c r="Q13" t="s">
        <v>68</v>
      </c>
      <c r="V13">
        <v>0</v>
      </c>
      <c r="W13">
        <v>11</v>
      </c>
      <c r="X13">
        <v>11</v>
      </c>
      <c r="Y13">
        <v>5</v>
      </c>
      <c r="Z13">
        <v>65.987414500006693</v>
      </c>
      <c r="AH13">
        <v>65.975833500007795</v>
      </c>
      <c r="AI13">
        <v>65.987414500006693</v>
      </c>
      <c r="AJ13">
        <v>65.987414500006693</v>
      </c>
      <c r="AK13">
        <v>65.987414500006693</v>
      </c>
      <c r="AL13">
        <v>3.5411000135354598E-3</v>
      </c>
      <c r="AM13">
        <v>68.521731999993705</v>
      </c>
      <c r="AN13" t="s">
        <v>129</v>
      </c>
      <c r="AO13" t="s">
        <v>204</v>
      </c>
      <c r="AP13" t="s">
        <v>139</v>
      </c>
      <c r="AQ13" t="s">
        <v>65</v>
      </c>
      <c r="AR13" t="s">
        <v>66</v>
      </c>
      <c r="AS13" t="s">
        <v>66</v>
      </c>
      <c r="AT13" t="s">
        <v>205</v>
      </c>
      <c r="AU13" t="s">
        <v>68</v>
      </c>
      <c r="AV13">
        <v>3</v>
      </c>
      <c r="AW13">
        <v>1</v>
      </c>
      <c r="AX13" t="s">
        <v>179</v>
      </c>
      <c r="AY13" t="s">
        <v>70</v>
      </c>
      <c r="BA13" t="s">
        <v>71</v>
      </c>
      <c r="BB13">
        <v>59.927966586810797</v>
      </c>
      <c r="BC13" t="s">
        <v>180</v>
      </c>
    </row>
    <row r="14" spans="1:55" x14ac:dyDescent="0.35">
      <c r="B14">
        <v>12</v>
      </c>
      <c r="C14">
        <v>12</v>
      </c>
      <c r="D14">
        <v>0</v>
      </c>
      <c r="G14" t="s">
        <v>76</v>
      </c>
      <c r="H14" t="s">
        <v>77</v>
      </c>
      <c r="I14" t="s">
        <v>61</v>
      </c>
      <c r="J14" t="s">
        <v>77</v>
      </c>
      <c r="K14" t="s">
        <v>204</v>
      </c>
      <c r="L14" t="s">
        <v>139</v>
      </c>
      <c r="M14" t="s">
        <v>65</v>
      </c>
      <c r="N14" t="s">
        <v>66</v>
      </c>
      <c r="O14" t="s">
        <v>66</v>
      </c>
      <c r="P14" t="s">
        <v>206</v>
      </c>
      <c r="Q14" t="s">
        <v>68</v>
      </c>
      <c r="V14">
        <v>0</v>
      </c>
      <c r="W14">
        <v>12</v>
      </c>
      <c r="X14">
        <v>12</v>
      </c>
      <c r="Y14">
        <v>14</v>
      </c>
      <c r="Z14">
        <v>68.536875699996003</v>
      </c>
      <c r="AH14">
        <v>68.525252799998199</v>
      </c>
      <c r="AI14">
        <v>68.536875699996003</v>
      </c>
      <c r="AJ14">
        <v>68.536875699996003</v>
      </c>
      <c r="AK14">
        <v>68.536875699996003</v>
      </c>
      <c r="AL14">
        <v>3.2476999913342202E-3</v>
      </c>
      <c r="AM14">
        <v>74.537987999996403</v>
      </c>
      <c r="AN14" t="s">
        <v>77</v>
      </c>
      <c r="AO14" t="s">
        <v>204</v>
      </c>
      <c r="AP14" t="s">
        <v>139</v>
      </c>
      <c r="AQ14" t="s">
        <v>65</v>
      </c>
      <c r="AR14" t="s">
        <v>66</v>
      </c>
      <c r="AS14" t="s">
        <v>66</v>
      </c>
      <c r="AT14" t="s">
        <v>206</v>
      </c>
      <c r="AU14" t="s">
        <v>68</v>
      </c>
      <c r="AV14">
        <v>3</v>
      </c>
      <c r="AW14">
        <v>1</v>
      </c>
      <c r="AX14" t="s">
        <v>179</v>
      </c>
      <c r="AY14" t="s">
        <v>70</v>
      </c>
      <c r="BA14" t="s">
        <v>71</v>
      </c>
      <c r="BB14">
        <v>59.927966586810797</v>
      </c>
      <c r="BC14" t="s">
        <v>180</v>
      </c>
    </row>
    <row r="15" spans="1:55" x14ac:dyDescent="0.35">
      <c r="B15">
        <v>13</v>
      </c>
      <c r="C15">
        <v>13</v>
      </c>
      <c r="D15">
        <v>0</v>
      </c>
      <c r="G15" t="s">
        <v>96</v>
      </c>
      <c r="H15" t="s">
        <v>97</v>
      </c>
      <c r="I15" t="s">
        <v>61</v>
      </c>
      <c r="J15" t="s">
        <v>207</v>
      </c>
      <c r="K15" t="s">
        <v>204</v>
      </c>
      <c r="L15" t="s">
        <v>139</v>
      </c>
      <c r="M15" t="s">
        <v>65</v>
      </c>
      <c r="N15" t="s">
        <v>66</v>
      </c>
      <c r="O15" t="s">
        <v>66</v>
      </c>
      <c r="P15" t="s">
        <v>208</v>
      </c>
      <c r="Q15" t="s">
        <v>68</v>
      </c>
      <c r="V15">
        <v>0</v>
      </c>
      <c r="W15">
        <v>13</v>
      </c>
      <c r="X15">
        <v>13</v>
      </c>
      <c r="Y15">
        <v>13</v>
      </c>
      <c r="Z15">
        <v>74.553285600006305</v>
      </c>
      <c r="AH15">
        <v>74.541476499987695</v>
      </c>
      <c r="AI15">
        <v>74.553285600006305</v>
      </c>
      <c r="AJ15">
        <v>74.553285600006305</v>
      </c>
      <c r="AK15">
        <v>74.553285600006305</v>
      </c>
      <c r="AL15">
        <v>3.3011999912559899E-3</v>
      </c>
      <c r="AM15">
        <v>79.220785199984604</v>
      </c>
      <c r="AN15" t="s">
        <v>207</v>
      </c>
      <c r="AO15" t="s">
        <v>204</v>
      </c>
      <c r="AP15" t="s">
        <v>139</v>
      </c>
      <c r="AQ15" t="s">
        <v>65</v>
      </c>
      <c r="AR15" t="s">
        <v>66</v>
      </c>
      <c r="AS15" t="s">
        <v>66</v>
      </c>
      <c r="AT15" t="s">
        <v>208</v>
      </c>
      <c r="AU15" t="s">
        <v>68</v>
      </c>
      <c r="AV15">
        <v>3</v>
      </c>
      <c r="AW15">
        <v>1</v>
      </c>
      <c r="AX15" t="s">
        <v>179</v>
      </c>
      <c r="AY15" t="s">
        <v>70</v>
      </c>
      <c r="BA15" t="s">
        <v>71</v>
      </c>
      <c r="BB15">
        <v>59.927966586810797</v>
      </c>
      <c r="BC15" t="s">
        <v>180</v>
      </c>
    </row>
    <row r="16" spans="1:55" x14ac:dyDescent="0.35">
      <c r="B16">
        <v>14</v>
      </c>
      <c r="C16">
        <v>14</v>
      </c>
      <c r="D16">
        <v>0</v>
      </c>
      <c r="G16" t="s">
        <v>87</v>
      </c>
      <c r="H16" t="s">
        <v>88</v>
      </c>
      <c r="I16" t="s">
        <v>61</v>
      </c>
      <c r="J16" t="s">
        <v>88</v>
      </c>
      <c r="K16" t="s">
        <v>204</v>
      </c>
      <c r="L16" t="s">
        <v>139</v>
      </c>
      <c r="M16" t="s">
        <v>65</v>
      </c>
      <c r="N16" t="s">
        <v>66</v>
      </c>
      <c r="O16" t="s">
        <v>66</v>
      </c>
      <c r="P16" t="s">
        <v>209</v>
      </c>
      <c r="Q16" t="s">
        <v>68</v>
      </c>
      <c r="V16">
        <v>0</v>
      </c>
      <c r="W16">
        <v>14</v>
      </c>
      <c r="X16">
        <v>14</v>
      </c>
      <c r="Y16">
        <v>11</v>
      </c>
      <c r="Z16">
        <v>79.236188100010594</v>
      </c>
      <c r="AH16">
        <v>79.223697999986996</v>
      </c>
      <c r="AI16">
        <v>79.236188100010594</v>
      </c>
      <c r="AJ16">
        <v>79.236188100010594</v>
      </c>
      <c r="AK16">
        <v>79.236188100010594</v>
      </c>
      <c r="AL16">
        <v>2.80499999644234E-3</v>
      </c>
      <c r="AM16">
        <v>82.671068299998296</v>
      </c>
      <c r="AN16" t="s">
        <v>88</v>
      </c>
      <c r="AO16" t="s">
        <v>204</v>
      </c>
      <c r="AP16" t="s">
        <v>139</v>
      </c>
      <c r="AQ16" t="s">
        <v>65</v>
      </c>
      <c r="AR16" t="s">
        <v>66</v>
      </c>
      <c r="AS16" t="s">
        <v>66</v>
      </c>
      <c r="AT16" t="s">
        <v>209</v>
      </c>
      <c r="AU16" t="s">
        <v>68</v>
      </c>
      <c r="AV16">
        <v>3</v>
      </c>
      <c r="AW16">
        <v>1</v>
      </c>
      <c r="AX16" t="s">
        <v>179</v>
      </c>
      <c r="AY16" t="s">
        <v>70</v>
      </c>
      <c r="BA16" t="s">
        <v>71</v>
      </c>
      <c r="BB16">
        <v>59.927966586810797</v>
      </c>
      <c r="BC16" t="s">
        <v>180</v>
      </c>
    </row>
    <row r="17" spans="2:55" x14ac:dyDescent="0.35">
      <c r="B17">
        <v>15</v>
      </c>
      <c r="C17">
        <v>15</v>
      </c>
      <c r="D17">
        <v>0</v>
      </c>
      <c r="G17" t="s">
        <v>112</v>
      </c>
      <c r="H17" t="s">
        <v>113</v>
      </c>
      <c r="I17" t="s">
        <v>61</v>
      </c>
      <c r="J17" t="s">
        <v>113</v>
      </c>
      <c r="K17" t="s">
        <v>204</v>
      </c>
      <c r="L17" t="s">
        <v>139</v>
      </c>
      <c r="M17" t="s">
        <v>65</v>
      </c>
      <c r="N17" t="s">
        <v>66</v>
      </c>
      <c r="O17" t="s">
        <v>66</v>
      </c>
      <c r="P17" t="s">
        <v>210</v>
      </c>
      <c r="Q17" t="s">
        <v>68</v>
      </c>
      <c r="V17">
        <v>0</v>
      </c>
      <c r="W17">
        <v>15</v>
      </c>
      <c r="X17">
        <v>15</v>
      </c>
      <c r="Y17">
        <v>8</v>
      </c>
      <c r="Z17">
        <v>82.686171300010699</v>
      </c>
      <c r="AH17">
        <v>82.675721700012204</v>
      </c>
      <c r="AI17">
        <v>82.686171300010699</v>
      </c>
      <c r="AJ17">
        <v>82.686171300010699</v>
      </c>
      <c r="AK17">
        <v>82.686171300010699</v>
      </c>
      <c r="AL17">
        <v>4.4473999878391597E-3</v>
      </c>
      <c r="AM17">
        <v>84.669837699999306</v>
      </c>
      <c r="AN17" t="s">
        <v>113</v>
      </c>
      <c r="AO17" t="s">
        <v>204</v>
      </c>
      <c r="AP17" t="s">
        <v>139</v>
      </c>
      <c r="AQ17" t="s">
        <v>65</v>
      </c>
      <c r="AR17" t="s">
        <v>66</v>
      </c>
      <c r="AS17" t="s">
        <v>66</v>
      </c>
      <c r="AT17" t="s">
        <v>210</v>
      </c>
      <c r="AU17" t="s">
        <v>68</v>
      </c>
      <c r="AV17">
        <v>3</v>
      </c>
      <c r="AW17">
        <v>1</v>
      </c>
      <c r="AX17" t="s">
        <v>179</v>
      </c>
      <c r="AY17" t="s">
        <v>70</v>
      </c>
      <c r="BA17" t="s">
        <v>71</v>
      </c>
      <c r="BB17">
        <v>59.927966586810797</v>
      </c>
      <c r="BC17" t="s">
        <v>180</v>
      </c>
    </row>
    <row r="18" spans="2:55" x14ac:dyDescent="0.35">
      <c r="B18">
        <v>16</v>
      </c>
      <c r="C18">
        <v>16</v>
      </c>
      <c r="D18">
        <v>0</v>
      </c>
      <c r="G18" t="s">
        <v>109</v>
      </c>
      <c r="H18" t="s">
        <v>110</v>
      </c>
      <c r="I18" t="s">
        <v>81</v>
      </c>
      <c r="J18" t="s">
        <v>110</v>
      </c>
      <c r="K18" t="s">
        <v>204</v>
      </c>
      <c r="L18" t="s">
        <v>139</v>
      </c>
      <c r="M18" t="s">
        <v>65</v>
      </c>
      <c r="N18" t="s">
        <v>66</v>
      </c>
      <c r="O18" t="s">
        <v>66</v>
      </c>
      <c r="P18" t="s">
        <v>211</v>
      </c>
      <c r="Q18" t="s">
        <v>68</v>
      </c>
      <c r="V18">
        <v>0</v>
      </c>
      <c r="W18">
        <v>16</v>
      </c>
      <c r="X18">
        <v>16</v>
      </c>
      <c r="Y18">
        <v>18</v>
      </c>
      <c r="Z18">
        <v>84.685965200013001</v>
      </c>
      <c r="AH18">
        <v>84.671695299999499</v>
      </c>
      <c r="AI18">
        <v>84.685965200013001</v>
      </c>
      <c r="AJ18">
        <v>84.685965200013001</v>
      </c>
      <c r="AK18">
        <v>84.685965200013001</v>
      </c>
      <c r="AL18">
        <v>1.7885999986901799E-3</v>
      </c>
      <c r="AM18">
        <v>86.836980899999602</v>
      </c>
      <c r="AN18" t="s">
        <v>110</v>
      </c>
      <c r="AO18" t="s">
        <v>204</v>
      </c>
      <c r="AP18" t="s">
        <v>139</v>
      </c>
      <c r="AQ18" t="s">
        <v>65</v>
      </c>
      <c r="AR18" t="s">
        <v>66</v>
      </c>
      <c r="AS18" t="s">
        <v>66</v>
      </c>
      <c r="AT18" t="s">
        <v>211</v>
      </c>
      <c r="AU18" t="s">
        <v>68</v>
      </c>
      <c r="AV18">
        <v>3</v>
      </c>
      <c r="AW18">
        <v>1</v>
      </c>
      <c r="AX18" t="s">
        <v>179</v>
      </c>
      <c r="AY18" t="s">
        <v>70</v>
      </c>
      <c r="BA18" t="s">
        <v>71</v>
      </c>
      <c r="BB18">
        <v>59.927966586810797</v>
      </c>
      <c r="BC18" t="s">
        <v>180</v>
      </c>
    </row>
    <row r="19" spans="2:55" x14ac:dyDescent="0.35">
      <c r="B19">
        <v>17</v>
      </c>
      <c r="C19">
        <v>17</v>
      </c>
      <c r="D19">
        <v>0</v>
      </c>
      <c r="G19" t="s">
        <v>104</v>
      </c>
      <c r="H19" t="s">
        <v>105</v>
      </c>
      <c r="I19" t="s">
        <v>61</v>
      </c>
      <c r="J19" t="s">
        <v>105</v>
      </c>
      <c r="K19" t="s">
        <v>204</v>
      </c>
      <c r="L19" t="s">
        <v>139</v>
      </c>
      <c r="M19" t="s">
        <v>65</v>
      </c>
      <c r="N19" t="s">
        <v>66</v>
      </c>
      <c r="O19" t="s">
        <v>66</v>
      </c>
      <c r="P19" t="s">
        <v>212</v>
      </c>
      <c r="Q19" t="s">
        <v>68</v>
      </c>
      <c r="V19">
        <v>0</v>
      </c>
      <c r="W19">
        <v>17</v>
      </c>
      <c r="X19">
        <v>17</v>
      </c>
      <c r="Y19">
        <v>7</v>
      </c>
      <c r="Z19">
        <v>86.852543399989301</v>
      </c>
      <c r="AH19">
        <v>86.839306699985102</v>
      </c>
      <c r="AI19">
        <v>86.852543399989301</v>
      </c>
      <c r="AJ19">
        <v>86.852543399989301</v>
      </c>
      <c r="AK19">
        <v>86.852543399989301</v>
      </c>
      <c r="AL19">
        <v>2.24760000128299E-3</v>
      </c>
      <c r="AM19">
        <v>91.120688499999204</v>
      </c>
      <c r="AN19" t="s">
        <v>105</v>
      </c>
      <c r="AO19" t="s">
        <v>204</v>
      </c>
      <c r="AP19" t="s">
        <v>139</v>
      </c>
      <c r="AQ19" t="s">
        <v>65</v>
      </c>
      <c r="AR19" t="s">
        <v>66</v>
      </c>
      <c r="AS19" t="s">
        <v>66</v>
      </c>
      <c r="AT19" t="s">
        <v>212</v>
      </c>
      <c r="AU19" t="s">
        <v>68</v>
      </c>
      <c r="AV19">
        <v>3</v>
      </c>
      <c r="AW19">
        <v>1</v>
      </c>
      <c r="AX19" t="s">
        <v>179</v>
      </c>
      <c r="AY19" t="s">
        <v>70</v>
      </c>
      <c r="BA19" t="s">
        <v>71</v>
      </c>
      <c r="BB19">
        <v>59.927966586810797</v>
      </c>
      <c r="BC19" t="s">
        <v>180</v>
      </c>
    </row>
    <row r="20" spans="2:55" x14ac:dyDescent="0.35">
      <c r="B20">
        <v>18</v>
      </c>
      <c r="C20">
        <v>18</v>
      </c>
      <c r="D20">
        <v>0</v>
      </c>
      <c r="G20" t="s">
        <v>115</v>
      </c>
      <c r="H20" t="s">
        <v>116</v>
      </c>
      <c r="I20" t="s">
        <v>81</v>
      </c>
      <c r="J20" t="s">
        <v>116</v>
      </c>
      <c r="K20" t="s">
        <v>204</v>
      </c>
      <c r="L20" t="s">
        <v>139</v>
      </c>
      <c r="M20" t="s">
        <v>65</v>
      </c>
      <c r="N20" t="s">
        <v>66</v>
      </c>
      <c r="O20" t="s">
        <v>66</v>
      </c>
      <c r="P20" t="s">
        <v>213</v>
      </c>
      <c r="Q20" t="s">
        <v>68</v>
      </c>
      <c r="V20">
        <v>0</v>
      </c>
      <c r="W20">
        <v>18</v>
      </c>
      <c r="X20">
        <v>18</v>
      </c>
      <c r="Y20">
        <v>16</v>
      </c>
      <c r="Z20">
        <v>91.135770399996503</v>
      </c>
      <c r="AH20">
        <v>91.124409300013198</v>
      </c>
      <c r="AI20">
        <v>91.135770399996503</v>
      </c>
      <c r="AJ20">
        <v>91.135770399996503</v>
      </c>
      <c r="AK20">
        <v>91.135770399996503</v>
      </c>
      <c r="AL20">
        <v>3.5558999807108098E-3</v>
      </c>
      <c r="AM20">
        <v>93.737505800003404</v>
      </c>
      <c r="AN20" t="s">
        <v>116</v>
      </c>
      <c r="AO20" t="s">
        <v>204</v>
      </c>
      <c r="AP20" t="s">
        <v>139</v>
      </c>
      <c r="AQ20" t="s">
        <v>65</v>
      </c>
      <c r="AR20" t="s">
        <v>66</v>
      </c>
      <c r="AS20" t="s">
        <v>66</v>
      </c>
      <c r="AT20" t="s">
        <v>213</v>
      </c>
      <c r="AU20" t="s">
        <v>68</v>
      </c>
      <c r="AV20">
        <v>3</v>
      </c>
      <c r="AW20">
        <v>1</v>
      </c>
      <c r="AX20" t="s">
        <v>179</v>
      </c>
      <c r="AY20" t="s">
        <v>70</v>
      </c>
      <c r="BA20" t="s">
        <v>71</v>
      </c>
      <c r="BB20">
        <v>59.927966586810797</v>
      </c>
      <c r="BC20" t="s">
        <v>180</v>
      </c>
    </row>
    <row r="21" spans="2:55" x14ac:dyDescent="0.35">
      <c r="B21">
        <v>19</v>
      </c>
      <c r="C21">
        <v>19</v>
      </c>
      <c r="D21">
        <v>0</v>
      </c>
      <c r="G21" t="s">
        <v>122</v>
      </c>
      <c r="H21" t="s">
        <v>120</v>
      </c>
      <c r="I21" t="s">
        <v>61</v>
      </c>
      <c r="J21" t="s">
        <v>120</v>
      </c>
      <c r="K21" t="s">
        <v>204</v>
      </c>
      <c r="L21" t="s">
        <v>139</v>
      </c>
      <c r="M21" t="s">
        <v>65</v>
      </c>
      <c r="N21" t="s">
        <v>66</v>
      </c>
      <c r="O21" t="s">
        <v>66</v>
      </c>
      <c r="P21" t="s">
        <v>214</v>
      </c>
      <c r="Q21" t="s">
        <v>68</v>
      </c>
      <c r="V21">
        <v>0</v>
      </c>
      <c r="W21">
        <v>19</v>
      </c>
      <c r="X21">
        <v>19</v>
      </c>
      <c r="Y21">
        <v>4</v>
      </c>
      <c r="Z21">
        <v>93.753943999996395</v>
      </c>
      <c r="AH21">
        <v>93.7420913999958</v>
      </c>
      <c r="AI21">
        <v>93.753943999996395</v>
      </c>
      <c r="AJ21">
        <v>93.753943999996395</v>
      </c>
      <c r="AK21">
        <v>93.753943999996395</v>
      </c>
      <c r="AL21">
        <v>4.3946000223513597E-3</v>
      </c>
      <c r="AM21">
        <v>96.120901499991305</v>
      </c>
      <c r="AN21" t="s">
        <v>120</v>
      </c>
      <c r="AO21" t="s">
        <v>204</v>
      </c>
      <c r="AP21" t="s">
        <v>139</v>
      </c>
      <c r="AQ21" t="s">
        <v>65</v>
      </c>
      <c r="AR21" t="s">
        <v>66</v>
      </c>
      <c r="AS21" t="s">
        <v>66</v>
      </c>
      <c r="AT21" t="s">
        <v>214</v>
      </c>
      <c r="AU21" t="s">
        <v>68</v>
      </c>
      <c r="AV21">
        <v>3</v>
      </c>
      <c r="AW21">
        <v>1</v>
      </c>
      <c r="AX21" t="s">
        <v>179</v>
      </c>
      <c r="AY21" t="s">
        <v>70</v>
      </c>
      <c r="BA21" t="s">
        <v>71</v>
      </c>
      <c r="BB21">
        <v>59.927966586810797</v>
      </c>
      <c r="BC21" t="s">
        <v>180</v>
      </c>
    </row>
    <row r="23" spans="2:55" x14ac:dyDescent="0.35">
      <c r="J23" t="s">
        <v>141</v>
      </c>
      <c r="K23">
        <v>10</v>
      </c>
      <c r="L23">
        <f>10/15</f>
        <v>0.66666666666666663</v>
      </c>
    </row>
    <row r="24" spans="2:55" x14ac:dyDescent="0.35">
      <c r="J24" t="s">
        <v>142</v>
      </c>
      <c r="K24">
        <v>5</v>
      </c>
      <c r="L24">
        <f>5/5</f>
        <v>1</v>
      </c>
    </row>
    <row r="25" spans="2:55" x14ac:dyDescent="0.35">
      <c r="J25" t="s">
        <v>143</v>
      </c>
      <c r="K25">
        <f>L23-L24</f>
        <v>-0.33333333333333337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"/>
  <sheetViews>
    <sheetView tabSelected="1" topLeftCell="E1" workbookViewId="0">
      <selection activeCell="K26" sqref="K26"/>
    </sheetView>
  </sheetViews>
  <sheetFormatPr defaultRowHeight="14.5" x14ac:dyDescent="0.35"/>
  <cols>
    <col min="10" max="10" width="25.179687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</row>
    <row r="2" spans="1:55" x14ac:dyDescent="0.35">
      <c r="B2">
        <v>0</v>
      </c>
      <c r="C2">
        <v>0</v>
      </c>
      <c r="D2">
        <v>0</v>
      </c>
      <c r="G2" t="s">
        <v>136</v>
      </c>
      <c r="H2" t="s">
        <v>137</v>
      </c>
      <c r="I2" t="s">
        <v>61</v>
      </c>
      <c r="J2" t="s">
        <v>217</v>
      </c>
      <c r="K2" t="s">
        <v>218</v>
      </c>
      <c r="L2" t="s">
        <v>219</v>
      </c>
      <c r="M2" t="s">
        <v>65</v>
      </c>
      <c r="N2" t="s">
        <v>66</v>
      </c>
      <c r="O2" t="s">
        <v>66</v>
      </c>
      <c r="P2" t="s">
        <v>220</v>
      </c>
      <c r="Q2" t="s">
        <v>68</v>
      </c>
      <c r="V2">
        <v>0</v>
      </c>
      <c r="W2">
        <v>0</v>
      </c>
      <c r="X2">
        <v>0</v>
      </c>
      <c r="Y2">
        <v>10</v>
      </c>
      <c r="Z2">
        <v>31.048556199995801</v>
      </c>
      <c r="AH2">
        <v>31.042906700022201</v>
      </c>
      <c r="AI2">
        <v>31.048556199995801</v>
      </c>
      <c r="AJ2">
        <v>31.048556199995801</v>
      </c>
      <c r="AK2">
        <v>31.048556199995801</v>
      </c>
      <c r="AL2">
        <v>1.6582799988100302E-2</v>
      </c>
      <c r="AM2">
        <v>39.042792799998999</v>
      </c>
      <c r="AN2" t="s">
        <v>217</v>
      </c>
      <c r="AO2" t="s">
        <v>218</v>
      </c>
      <c r="AP2" t="s">
        <v>219</v>
      </c>
      <c r="AQ2" t="s">
        <v>65</v>
      </c>
      <c r="AR2" t="s">
        <v>66</v>
      </c>
      <c r="AS2" t="s">
        <v>66</v>
      </c>
      <c r="AT2" t="s">
        <v>220</v>
      </c>
      <c r="AU2" t="s">
        <v>68</v>
      </c>
      <c r="AV2">
        <v>4</v>
      </c>
      <c r="AW2">
        <v>1</v>
      </c>
      <c r="AX2" t="s">
        <v>215</v>
      </c>
      <c r="AY2" t="s">
        <v>70</v>
      </c>
      <c r="BA2" t="s">
        <v>71</v>
      </c>
      <c r="BB2">
        <v>60.050069748416199</v>
      </c>
      <c r="BC2" t="s">
        <v>216</v>
      </c>
    </row>
    <row r="3" spans="1:55" x14ac:dyDescent="0.35">
      <c r="B3">
        <v>1</v>
      </c>
      <c r="C3">
        <v>1</v>
      </c>
      <c r="D3">
        <v>0</v>
      </c>
      <c r="G3" t="s">
        <v>76</v>
      </c>
      <c r="H3" t="s">
        <v>77</v>
      </c>
      <c r="I3" t="s">
        <v>61</v>
      </c>
      <c r="J3" t="s">
        <v>77</v>
      </c>
      <c r="K3" t="s">
        <v>218</v>
      </c>
      <c r="L3" t="s">
        <v>219</v>
      </c>
      <c r="M3" t="s">
        <v>65</v>
      </c>
      <c r="N3" t="s">
        <v>66</v>
      </c>
      <c r="O3" t="s">
        <v>66</v>
      </c>
      <c r="P3" t="s">
        <v>221</v>
      </c>
      <c r="Q3" t="s">
        <v>68</v>
      </c>
      <c r="V3">
        <v>0</v>
      </c>
      <c r="W3">
        <v>1</v>
      </c>
      <c r="X3">
        <v>1</v>
      </c>
      <c r="Y3">
        <v>14</v>
      </c>
      <c r="Z3">
        <v>39.058219400001597</v>
      </c>
      <c r="AH3">
        <v>39.045767200004697</v>
      </c>
      <c r="AI3">
        <v>39.058219400001597</v>
      </c>
      <c r="AJ3">
        <v>39.058219400001597</v>
      </c>
      <c r="AK3">
        <v>39.058219400001597</v>
      </c>
      <c r="AL3">
        <v>2.8606999840121699E-3</v>
      </c>
      <c r="AM3">
        <v>41.559994100010897</v>
      </c>
      <c r="AN3" t="s">
        <v>77</v>
      </c>
      <c r="AO3" t="s">
        <v>218</v>
      </c>
      <c r="AP3" t="s">
        <v>219</v>
      </c>
      <c r="AQ3" t="s">
        <v>65</v>
      </c>
      <c r="AR3" t="s">
        <v>66</v>
      </c>
      <c r="AS3" t="s">
        <v>66</v>
      </c>
      <c r="AT3" t="s">
        <v>221</v>
      </c>
      <c r="AU3" t="s">
        <v>68</v>
      </c>
      <c r="AV3">
        <v>4</v>
      </c>
      <c r="AW3">
        <v>1</v>
      </c>
      <c r="AX3" t="s">
        <v>215</v>
      </c>
      <c r="AY3" t="s">
        <v>70</v>
      </c>
      <c r="BA3" t="s">
        <v>71</v>
      </c>
      <c r="BB3">
        <v>60.050069748416199</v>
      </c>
      <c r="BC3" t="s">
        <v>216</v>
      </c>
    </row>
    <row r="4" spans="1:55" x14ac:dyDescent="0.35">
      <c r="B4">
        <v>2</v>
      </c>
      <c r="C4">
        <v>2</v>
      </c>
      <c r="D4">
        <v>0</v>
      </c>
      <c r="G4" t="s">
        <v>96</v>
      </c>
      <c r="H4" t="s">
        <v>97</v>
      </c>
      <c r="I4" t="s">
        <v>61</v>
      </c>
      <c r="J4" t="s">
        <v>97</v>
      </c>
      <c r="K4" t="s">
        <v>218</v>
      </c>
      <c r="L4" t="s">
        <v>219</v>
      </c>
      <c r="M4" t="s">
        <v>65</v>
      </c>
      <c r="N4" t="s">
        <v>66</v>
      </c>
      <c r="O4" t="s">
        <v>66</v>
      </c>
      <c r="P4" t="s">
        <v>222</v>
      </c>
      <c r="Q4" t="s">
        <v>68</v>
      </c>
      <c r="V4">
        <v>0</v>
      </c>
      <c r="W4">
        <v>2</v>
      </c>
      <c r="X4">
        <v>2</v>
      </c>
      <c r="Y4">
        <v>13</v>
      </c>
      <c r="Z4">
        <v>41.574693800008298</v>
      </c>
      <c r="AH4">
        <v>41.564859600010003</v>
      </c>
      <c r="AI4">
        <v>41.574693800008298</v>
      </c>
      <c r="AJ4">
        <v>41.574693800008298</v>
      </c>
      <c r="AK4">
        <v>41.574693800008298</v>
      </c>
      <c r="AL4">
        <v>4.6521999756805599E-3</v>
      </c>
      <c r="AM4">
        <v>47.825179800012798</v>
      </c>
      <c r="AN4" t="s">
        <v>97</v>
      </c>
      <c r="AO4" t="s">
        <v>218</v>
      </c>
      <c r="AP4" t="s">
        <v>219</v>
      </c>
      <c r="AQ4" t="s">
        <v>65</v>
      </c>
      <c r="AR4" t="s">
        <v>66</v>
      </c>
      <c r="AS4" t="s">
        <v>66</v>
      </c>
      <c r="AT4" t="s">
        <v>222</v>
      </c>
      <c r="AU4" t="s">
        <v>68</v>
      </c>
      <c r="AV4">
        <v>4</v>
      </c>
      <c r="AW4">
        <v>1</v>
      </c>
      <c r="AX4" t="s">
        <v>215</v>
      </c>
      <c r="AY4" t="s">
        <v>70</v>
      </c>
      <c r="BA4" t="s">
        <v>71</v>
      </c>
      <c r="BB4">
        <v>60.050069748416199</v>
      </c>
      <c r="BC4" t="s">
        <v>216</v>
      </c>
    </row>
    <row r="5" spans="1:55" x14ac:dyDescent="0.35">
      <c r="B5">
        <v>3</v>
      </c>
      <c r="C5">
        <v>3</v>
      </c>
      <c r="D5">
        <v>0</v>
      </c>
      <c r="G5" t="s">
        <v>90</v>
      </c>
      <c r="H5" t="s">
        <v>91</v>
      </c>
      <c r="I5" t="s">
        <v>61</v>
      </c>
      <c r="J5" t="s">
        <v>91</v>
      </c>
      <c r="K5" t="s">
        <v>218</v>
      </c>
      <c r="L5" t="s">
        <v>219</v>
      </c>
      <c r="M5" t="s">
        <v>65</v>
      </c>
      <c r="N5" t="s">
        <v>66</v>
      </c>
      <c r="O5" t="s">
        <v>66</v>
      </c>
      <c r="P5" t="s">
        <v>223</v>
      </c>
      <c r="Q5" t="s">
        <v>68</v>
      </c>
      <c r="V5">
        <v>0</v>
      </c>
      <c r="W5">
        <v>3</v>
      </c>
      <c r="X5">
        <v>3</v>
      </c>
      <c r="Y5">
        <v>1</v>
      </c>
      <c r="Z5">
        <v>47.840973400015997</v>
      </c>
      <c r="AH5">
        <v>47.827905400015801</v>
      </c>
      <c r="AI5">
        <v>47.840973400015997</v>
      </c>
      <c r="AJ5">
        <v>47.840973400015997</v>
      </c>
      <c r="AK5">
        <v>47.840973400015997</v>
      </c>
      <c r="AL5">
        <v>2.6203000161331099E-3</v>
      </c>
      <c r="AM5">
        <v>51.891596300003499</v>
      </c>
      <c r="AN5" t="s">
        <v>91</v>
      </c>
      <c r="AO5" t="s">
        <v>218</v>
      </c>
      <c r="AP5" t="s">
        <v>219</v>
      </c>
      <c r="AQ5" t="s">
        <v>65</v>
      </c>
      <c r="AR5" t="s">
        <v>66</v>
      </c>
      <c r="AS5" t="s">
        <v>66</v>
      </c>
      <c r="AT5" t="s">
        <v>223</v>
      </c>
      <c r="AU5" t="s">
        <v>68</v>
      </c>
      <c r="AV5">
        <v>4</v>
      </c>
      <c r="AW5">
        <v>1</v>
      </c>
      <c r="AX5" t="s">
        <v>215</v>
      </c>
      <c r="AY5" t="s">
        <v>70</v>
      </c>
      <c r="BA5" t="s">
        <v>71</v>
      </c>
      <c r="BB5">
        <v>60.050069748416199</v>
      </c>
      <c r="BC5" t="s">
        <v>216</v>
      </c>
    </row>
    <row r="6" spans="1:55" x14ac:dyDescent="0.35">
      <c r="B6">
        <v>4</v>
      </c>
      <c r="C6">
        <v>4</v>
      </c>
      <c r="D6">
        <v>0</v>
      </c>
      <c r="G6" t="s">
        <v>125</v>
      </c>
      <c r="H6" t="s">
        <v>126</v>
      </c>
      <c r="I6" t="s">
        <v>61</v>
      </c>
      <c r="J6" t="s">
        <v>126</v>
      </c>
      <c r="K6" t="s">
        <v>218</v>
      </c>
      <c r="L6" t="s">
        <v>219</v>
      </c>
      <c r="M6" t="s">
        <v>65</v>
      </c>
      <c r="N6" t="s">
        <v>66</v>
      </c>
      <c r="O6" t="s">
        <v>66</v>
      </c>
      <c r="P6" t="s">
        <v>224</v>
      </c>
      <c r="Q6" t="s">
        <v>68</v>
      </c>
      <c r="V6">
        <v>0</v>
      </c>
      <c r="W6">
        <v>4</v>
      </c>
      <c r="X6">
        <v>4</v>
      </c>
      <c r="Y6">
        <v>3</v>
      </c>
      <c r="Z6">
        <v>51.907486300013197</v>
      </c>
      <c r="AH6">
        <v>51.8936899999971</v>
      </c>
      <c r="AI6">
        <v>51.907486300013197</v>
      </c>
      <c r="AJ6">
        <v>51.907486300013197</v>
      </c>
      <c r="AK6">
        <v>51.907486300013197</v>
      </c>
      <c r="AL6">
        <v>2.0162999862805E-3</v>
      </c>
      <c r="AM6">
        <v>53.708710600010797</v>
      </c>
      <c r="AN6" t="s">
        <v>126</v>
      </c>
      <c r="AO6" t="s">
        <v>218</v>
      </c>
      <c r="AP6" t="s">
        <v>219</v>
      </c>
      <c r="AQ6" t="s">
        <v>65</v>
      </c>
      <c r="AR6" t="s">
        <v>66</v>
      </c>
      <c r="AS6" t="s">
        <v>66</v>
      </c>
      <c r="AT6" t="s">
        <v>224</v>
      </c>
      <c r="AU6" t="s">
        <v>68</v>
      </c>
      <c r="AV6">
        <v>4</v>
      </c>
      <c r="AW6">
        <v>1</v>
      </c>
      <c r="AX6" t="s">
        <v>215</v>
      </c>
      <c r="AY6" t="s">
        <v>70</v>
      </c>
      <c r="BA6" t="s">
        <v>71</v>
      </c>
      <c r="BB6">
        <v>60.050069748416199</v>
      </c>
      <c r="BC6" t="s">
        <v>216</v>
      </c>
    </row>
    <row r="7" spans="1:55" x14ac:dyDescent="0.35">
      <c r="B7">
        <v>5</v>
      </c>
      <c r="C7">
        <v>5</v>
      </c>
      <c r="D7">
        <v>0</v>
      </c>
      <c r="G7" t="s">
        <v>115</v>
      </c>
      <c r="H7" t="s">
        <v>116</v>
      </c>
      <c r="I7" t="s">
        <v>81</v>
      </c>
      <c r="J7" t="s">
        <v>116</v>
      </c>
      <c r="K7" t="s">
        <v>218</v>
      </c>
      <c r="L7" t="s">
        <v>219</v>
      </c>
      <c r="M7" t="s">
        <v>65</v>
      </c>
      <c r="N7" t="s">
        <v>66</v>
      </c>
      <c r="O7" t="s">
        <v>66</v>
      </c>
      <c r="P7" t="s">
        <v>225</v>
      </c>
      <c r="Q7" t="s">
        <v>68</v>
      </c>
      <c r="V7">
        <v>0</v>
      </c>
      <c r="W7">
        <v>5</v>
      </c>
      <c r="X7">
        <v>5</v>
      </c>
      <c r="Y7">
        <v>16</v>
      </c>
      <c r="Z7">
        <v>53.724015300016603</v>
      </c>
      <c r="AH7">
        <v>53.712121000018598</v>
      </c>
      <c r="AI7">
        <v>53.724015300016603</v>
      </c>
      <c r="AJ7">
        <v>53.724015300016603</v>
      </c>
      <c r="AK7">
        <v>53.724015300016603</v>
      </c>
      <c r="AL7">
        <v>3.2552999909967102E-3</v>
      </c>
      <c r="AM7">
        <v>56.741934100020401</v>
      </c>
      <c r="AN7" t="s">
        <v>116</v>
      </c>
      <c r="AO7" t="s">
        <v>218</v>
      </c>
      <c r="AP7" t="s">
        <v>219</v>
      </c>
      <c r="AQ7" t="s">
        <v>65</v>
      </c>
      <c r="AR7" t="s">
        <v>66</v>
      </c>
      <c r="AS7" t="s">
        <v>66</v>
      </c>
      <c r="AT7" t="s">
        <v>225</v>
      </c>
      <c r="AU7" t="s">
        <v>68</v>
      </c>
      <c r="AV7">
        <v>4</v>
      </c>
      <c r="AW7">
        <v>1</v>
      </c>
      <c r="AX7" t="s">
        <v>215</v>
      </c>
      <c r="AY7" t="s">
        <v>70</v>
      </c>
      <c r="BA7" t="s">
        <v>71</v>
      </c>
      <c r="BB7">
        <v>60.050069748416199</v>
      </c>
      <c r="BC7" t="s">
        <v>216</v>
      </c>
    </row>
    <row r="8" spans="1:55" x14ac:dyDescent="0.35">
      <c r="B8">
        <v>6</v>
      </c>
      <c r="C8">
        <v>6</v>
      </c>
      <c r="D8">
        <v>0</v>
      </c>
      <c r="G8" t="s">
        <v>79</v>
      </c>
      <c r="H8" t="s">
        <v>80</v>
      </c>
      <c r="I8" t="s">
        <v>81</v>
      </c>
      <c r="J8" t="s">
        <v>80</v>
      </c>
      <c r="K8" t="s">
        <v>218</v>
      </c>
      <c r="L8" t="s">
        <v>219</v>
      </c>
      <c r="M8" t="s">
        <v>65</v>
      </c>
      <c r="N8" t="s">
        <v>66</v>
      </c>
      <c r="O8" t="s">
        <v>66</v>
      </c>
      <c r="P8" t="s">
        <v>226</v>
      </c>
      <c r="Q8" t="s">
        <v>68</v>
      </c>
      <c r="V8">
        <v>0</v>
      </c>
      <c r="W8">
        <v>6</v>
      </c>
      <c r="X8">
        <v>6</v>
      </c>
      <c r="Y8">
        <v>17</v>
      </c>
      <c r="Z8">
        <v>56.7576810000173</v>
      </c>
      <c r="AH8">
        <v>56.745724800013697</v>
      </c>
      <c r="AI8">
        <v>56.7576810000173</v>
      </c>
      <c r="AJ8">
        <v>56.7576810000173</v>
      </c>
      <c r="AK8">
        <v>56.7576810000173</v>
      </c>
      <c r="AL8">
        <v>3.6907999892718999E-3</v>
      </c>
      <c r="AM8">
        <v>59.4753158999956</v>
      </c>
      <c r="AN8" t="s">
        <v>80</v>
      </c>
      <c r="AO8" t="s">
        <v>218</v>
      </c>
      <c r="AP8" t="s">
        <v>219</v>
      </c>
      <c r="AQ8" t="s">
        <v>65</v>
      </c>
      <c r="AR8" t="s">
        <v>66</v>
      </c>
      <c r="AS8" t="s">
        <v>66</v>
      </c>
      <c r="AT8" t="s">
        <v>226</v>
      </c>
      <c r="AU8" t="s">
        <v>68</v>
      </c>
      <c r="AV8">
        <v>4</v>
      </c>
      <c r="AW8">
        <v>1</v>
      </c>
      <c r="AX8" t="s">
        <v>215</v>
      </c>
      <c r="AY8" t="s">
        <v>70</v>
      </c>
      <c r="BA8" t="s">
        <v>71</v>
      </c>
      <c r="BB8">
        <v>60.050069748416199</v>
      </c>
      <c r="BC8" t="s">
        <v>216</v>
      </c>
    </row>
    <row r="9" spans="1:55" x14ac:dyDescent="0.35">
      <c r="B9">
        <v>7</v>
      </c>
      <c r="C9">
        <v>7</v>
      </c>
      <c r="D9">
        <v>0</v>
      </c>
      <c r="G9" t="s">
        <v>59</v>
      </c>
      <c r="H9" t="s">
        <v>60</v>
      </c>
      <c r="I9" t="s">
        <v>61</v>
      </c>
      <c r="J9" t="s">
        <v>62</v>
      </c>
      <c r="K9" t="s">
        <v>218</v>
      </c>
      <c r="L9" t="s">
        <v>219</v>
      </c>
      <c r="M9" t="s">
        <v>65</v>
      </c>
      <c r="N9" t="s">
        <v>66</v>
      </c>
      <c r="O9" t="s">
        <v>66</v>
      </c>
      <c r="P9" t="s">
        <v>227</v>
      </c>
      <c r="Q9" t="s">
        <v>68</v>
      </c>
      <c r="V9">
        <v>0</v>
      </c>
      <c r="W9">
        <v>7</v>
      </c>
      <c r="X9">
        <v>7</v>
      </c>
      <c r="Y9">
        <v>12</v>
      </c>
      <c r="Z9">
        <v>59.4907348999986</v>
      </c>
      <c r="AH9">
        <v>59.478560100018498</v>
      </c>
      <c r="AI9">
        <v>59.4907348999986</v>
      </c>
      <c r="AJ9">
        <v>59.4907348999986</v>
      </c>
      <c r="AK9">
        <v>59.4907348999986</v>
      </c>
      <c r="AL9">
        <v>3.0899000121280499E-3</v>
      </c>
      <c r="AM9">
        <v>65.458509599993704</v>
      </c>
      <c r="AN9" t="s">
        <v>62</v>
      </c>
      <c r="AO9" t="s">
        <v>218</v>
      </c>
      <c r="AP9" t="s">
        <v>219</v>
      </c>
      <c r="AQ9" t="s">
        <v>65</v>
      </c>
      <c r="AR9" t="s">
        <v>66</v>
      </c>
      <c r="AS9" t="s">
        <v>66</v>
      </c>
      <c r="AT9" t="s">
        <v>227</v>
      </c>
      <c r="AU9" t="s">
        <v>68</v>
      </c>
      <c r="AV9">
        <v>4</v>
      </c>
      <c r="AW9">
        <v>1</v>
      </c>
      <c r="AX9" t="s">
        <v>215</v>
      </c>
      <c r="AY9" t="s">
        <v>70</v>
      </c>
      <c r="BA9" t="s">
        <v>71</v>
      </c>
      <c r="BB9">
        <v>60.050069748416199</v>
      </c>
      <c r="BC9" t="s">
        <v>216</v>
      </c>
    </row>
    <row r="10" spans="1:55" x14ac:dyDescent="0.35">
      <c r="B10">
        <v>8</v>
      </c>
      <c r="C10">
        <v>8</v>
      </c>
      <c r="D10">
        <v>0</v>
      </c>
      <c r="G10" t="s">
        <v>83</v>
      </c>
      <c r="H10" t="s">
        <v>84</v>
      </c>
      <c r="I10" t="s">
        <v>61</v>
      </c>
      <c r="J10" t="s">
        <v>85</v>
      </c>
      <c r="K10" t="s">
        <v>218</v>
      </c>
      <c r="L10" t="s">
        <v>219</v>
      </c>
      <c r="M10" t="s">
        <v>65</v>
      </c>
      <c r="N10" t="s">
        <v>66</v>
      </c>
      <c r="O10" t="s">
        <v>66</v>
      </c>
      <c r="P10" t="s">
        <v>228</v>
      </c>
      <c r="Q10" t="s">
        <v>68</v>
      </c>
      <c r="V10">
        <v>0</v>
      </c>
      <c r="W10">
        <v>8</v>
      </c>
      <c r="X10">
        <v>8</v>
      </c>
      <c r="Y10">
        <v>2</v>
      </c>
      <c r="Z10">
        <v>65.473813200020203</v>
      </c>
      <c r="AH10">
        <v>65.461629500001393</v>
      </c>
      <c r="AI10">
        <v>65.473813200020203</v>
      </c>
      <c r="AJ10">
        <v>65.473813200020203</v>
      </c>
      <c r="AK10">
        <v>65.473813200020203</v>
      </c>
      <c r="AL10">
        <v>2.9846999968867701E-3</v>
      </c>
      <c r="AM10">
        <v>68.207765900005995</v>
      </c>
      <c r="AN10" t="s">
        <v>85</v>
      </c>
      <c r="AO10" t="s">
        <v>218</v>
      </c>
      <c r="AP10" t="s">
        <v>219</v>
      </c>
      <c r="AQ10" t="s">
        <v>65</v>
      </c>
      <c r="AR10" t="s">
        <v>66</v>
      </c>
      <c r="AS10" t="s">
        <v>66</v>
      </c>
      <c r="AT10" t="s">
        <v>228</v>
      </c>
      <c r="AU10" t="s">
        <v>68</v>
      </c>
      <c r="AV10">
        <v>4</v>
      </c>
      <c r="AW10">
        <v>1</v>
      </c>
      <c r="AX10" t="s">
        <v>215</v>
      </c>
      <c r="AY10" t="s">
        <v>70</v>
      </c>
      <c r="BA10" t="s">
        <v>71</v>
      </c>
      <c r="BB10">
        <v>60.050069748416199</v>
      </c>
      <c r="BC10" t="s">
        <v>216</v>
      </c>
    </row>
    <row r="11" spans="1:55" x14ac:dyDescent="0.35">
      <c r="B11">
        <v>9</v>
      </c>
      <c r="C11">
        <v>9</v>
      </c>
      <c r="D11">
        <v>0</v>
      </c>
      <c r="G11" t="s">
        <v>101</v>
      </c>
      <c r="H11" t="s">
        <v>102</v>
      </c>
      <c r="I11" t="s">
        <v>61</v>
      </c>
      <c r="J11" t="s">
        <v>181</v>
      </c>
      <c r="K11" t="s">
        <v>218</v>
      </c>
      <c r="L11" t="s">
        <v>219</v>
      </c>
      <c r="M11" t="s">
        <v>65</v>
      </c>
      <c r="N11" t="s">
        <v>66</v>
      </c>
      <c r="O11" t="s">
        <v>66</v>
      </c>
      <c r="P11" t="s">
        <v>229</v>
      </c>
      <c r="Q11" t="s">
        <v>68</v>
      </c>
      <c r="V11">
        <v>0</v>
      </c>
      <c r="W11">
        <v>9</v>
      </c>
      <c r="X11">
        <v>9</v>
      </c>
      <c r="Y11">
        <v>6</v>
      </c>
      <c r="Z11">
        <v>68.223257600009603</v>
      </c>
      <c r="AH11">
        <v>68.210692799999293</v>
      </c>
      <c r="AI11">
        <v>68.223257600009603</v>
      </c>
      <c r="AJ11">
        <v>68.223257600009603</v>
      </c>
      <c r="AK11">
        <v>68.223257600009603</v>
      </c>
      <c r="AL11">
        <v>2.7410000038798898E-3</v>
      </c>
      <c r="AM11">
        <v>73.675628600001801</v>
      </c>
      <c r="AN11" t="s">
        <v>181</v>
      </c>
      <c r="AO11" t="s">
        <v>218</v>
      </c>
      <c r="AP11" t="s">
        <v>219</v>
      </c>
      <c r="AQ11" t="s">
        <v>65</v>
      </c>
      <c r="AR11" t="s">
        <v>66</v>
      </c>
      <c r="AS11" t="s">
        <v>66</v>
      </c>
      <c r="AT11" t="s">
        <v>229</v>
      </c>
      <c r="AU11" t="s">
        <v>68</v>
      </c>
      <c r="AV11">
        <v>4</v>
      </c>
      <c r="AW11">
        <v>1</v>
      </c>
      <c r="AX11" t="s">
        <v>215</v>
      </c>
      <c r="AY11" t="s">
        <v>70</v>
      </c>
      <c r="BA11" t="s">
        <v>71</v>
      </c>
      <c r="BB11">
        <v>60.050069748416199</v>
      </c>
      <c r="BC11" t="s">
        <v>216</v>
      </c>
    </row>
    <row r="12" spans="1:55" x14ac:dyDescent="0.35">
      <c r="B12">
        <v>10</v>
      </c>
      <c r="C12">
        <v>10</v>
      </c>
      <c r="D12">
        <v>0</v>
      </c>
      <c r="G12" t="s">
        <v>104</v>
      </c>
      <c r="H12" t="s">
        <v>105</v>
      </c>
      <c r="I12" t="s">
        <v>61</v>
      </c>
      <c r="J12" t="s">
        <v>105</v>
      </c>
      <c r="K12" t="s">
        <v>218</v>
      </c>
      <c r="L12" t="s">
        <v>219</v>
      </c>
      <c r="M12" t="s">
        <v>65</v>
      </c>
      <c r="N12" t="s">
        <v>66</v>
      </c>
      <c r="O12" t="s">
        <v>66</v>
      </c>
      <c r="P12" t="s">
        <v>230</v>
      </c>
      <c r="Q12" t="s">
        <v>68</v>
      </c>
      <c r="V12">
        <v>0</v>
      </c>
      <c r="W12">
        <v>10</v>
      </c>
      <c r="X12">
        <v>10</v>
      </c>
      <c r="Y12">
        <v>7</v>
      </c>
      <c r="Z12">
        <v>73.6897028000094</v>
      </c>
      <c r="AH12">
        <v>73.679233700007899</v>
      </c>
      <c r="AI12">
        <v>73.6897028000094</v>
      </c>
      <c r="AJ12">
        <v>73.6897028000094</v>
      </c>
      <c r="AK12">
        <v>73.6897028000094</v>
      </c>
      <c r="AL12">
        <v>3.4549999982118598E-3</v>
      </c>
      <c r="AM12">
        <v>78.424862800020406</v>
      </c>
      <c r="AN12" t="s">
        <v>105</v>
      </c>
      <c r="AO12" t="s">
        <v>218</v>
      </c>
      <c r="AP12" t="s">
        <v>219</v>
      </c>
      <c r="AQ12" t="s">
        <v>65</v>
      </c>
      <c r="AR12" t="s">
        <v>66</v>
      </c>
      <c r="AS12" t="s">
        <v>66</v>
      </c>
      <c r="AT12" t="s">
        <v>230</v>
      </c>
      <c r="AU12" t="s">
        <v>68</v>
      </c>
      <c r="AV12">
        <v>4</v>
      </c>
      <c r="AW12">
        <v>1</v>
      </c>
      <c r="AX12" t="s">
        <v>215</v>
      </c>
      <c r="AY12" t="s">
        <v>70</v>
      </c>
      <c r="BA12" t="s">
        <v>71</v>
      </c>
      <c r="BB12">
        <v>60.050069748416199</v>
      </c>
      <c r="BC12" t="s">
        <v>216</v>
      </c>
    </row>
    <row r="13" spans="1:55" x14ac:dyDescent="0.35">
      <c r="B13">
        <v>11</v>
      </c>
      <c r="C13">
        <v>11</v>
      </c>
      <c r="D13">
        <v>0</v>
      </c>
      <c r="G13" t="s">
        <v>93</v>
      </c>
      <c r="H13" t="s">
        <v>94</v>
      </c>
      <c r="I13" t="s">
        <v>81</v>
      </c>
      <c r="J13" t="s">
        <v>94</v>
      </c>
      <c r="K13" t="s">
        <v>218</v>
      </c>
      <c r="L13" t="s">
        <v>219</v>
      </c>
      <c r="M13" t="s">
        <v>65</v>
      </c>
      <c r="N13" t="s">
        <v>66</v>
      </c>
      <c r="O13" t="s">
        <v>66</v>
      </c>
      <c r="P13" t="s">
        <v>231</v>
      </c>
      <c r="Q13" t="s">
        <v>68</v>
      </c>
      <c r="V13">
        <v>0</v>
      </c>
      <c r="W13">
        <v>11</v>
      </c>
      <c r="X13">
        <v>11</v>
      </c>
      <c r="Y13">
        <v>15</v>
      </c>
      <c r="Z13">
        <v>78.439754899998604</v>
      </c>
      <c r="AH13">
        <v>78.428798700013402</v>
      </c>
      <c r="AI13">
        <v>78.439754899998604</v>
      </c>
      <c r="AJ13">
        <v>78.439754899998604</v>
      </c>
      <c r="AK13">
        <v>78.439754899998604</v>
      </c>
      <c r="AL13">
        <v>3.72840001364238E-3</v>
      </c>
      <c r="AM13">
        <v>82.357307800004406</v>
      </c>
      <c r="AN13" t="s">
        <v>94</v>
      </c>
      <c r="AO13" t="s">
        <v>218</v>
      </c>
      <c r="AP13" t="s">
        <v>219</v>
      </c>
      <c r="AQ13" t="s">
        <v>65</v>
      </c>
      <c r="AR13" t="s">
        <v>66</v>
      </c>
      <c r="AS13" t="s">
        <v>66</v>
      </c>
      <c r="AT13" t="s">
        <v>231</v>
      </c>
      <c r="AU13" t="s">
        <v>68</v>
      </c>
      <c r="AV13">
        <v>4</v>
      </c>
      <c r="AW13">
        <v>1</v>
      </c>
      <c r="AX13" t="s">
        <v>215</v>
      </c>
      <c r="AY13" t="s">
        <v>70</v>
      </c>
      <c r="BA13" t="s">
        <v>71</v>
      </c>
      <c r="BB13">
        <v>60.050069748416199</v>
      </c>
      <c r="BC13" t="s">
        <v>216</v>
      </c>
    </row>
    <row r="14" spans="1:55" x14ac:dyDescent="0.35">
      <c r="B14">
        <v>12</v>
      </c>
      <c r="C14">
        <v>12</v>
      </c>
      <c r="D14">
        <v>0</v>
      </c>
      <c r="G14" t="s">
        <v>128</v>
      </c>
      <c r="H14" t="s">
        <v>129</v>
      </c>
      <c r="I14" t="s">
        <v>61</v>
      </c>
      <c r="J14" t="s">
        <v>129</v>
      </c>
      <c r="K14" t="s">
        <v>218</v>
      </c>
      <c r="L14" t="s">
        <v>219</v>
      </c>
      <c r="M14" t="s">
        <v>65</v>
      </c>
      <c r="N14" t="s">
        <v>66</v>
      </c>
      <c r="O14" t="s">
        <v>66</v>
      </c>
      <c r="P14" t="s">
        <v>232</v>
      </c>
      <c r="Q14" t="s">
        <v>68</v>
      </c>
      <c r="V14">
        <v>0</v>
      </c>
      <c r="W14">
        <v>12</v>
      </c>
      <c r="X14">
        <v>12</v>
      </c>
      <c r="Y14">
        <v>5</v>
      </c>
      <c r="Z14">
        <v>82.372656299994503</v>
      </c>
      <c r="AH14">
        <v>82.360521900001899</v>
      </c>
      <c r="AI14">
        <v>82.372656299994503</v>
      </c>
      <c r="AJ14">
        <v>82.372656299994503</v>
      </c>
      <c r="AK14">
        <v>82.372656299994503</v>
      </c>
      <c r="AL14">
        <v>3.0984999903012002E-3</v>
      </c>
      <c r="AM14">
        <v>84.473970399994798</v>
      </c>
      <c r="AN14" t="s">
        <v>129</v>
      </c>
      <c r="AO14" t="s">
        <v>218</v>
      </c>
      <c r="AP14" t="s">
        <v>219</v>
      </c>
      <c r="AQ14" t="s">
        <v>65</v>
      </c>
      <c r="AR14" t="s">
        <v>66</v>
      </c>
      <c r="AS14" t="s">
        <v>66</v>
      </c>
      <c r="AT14" t="s">
        <v>232</v>
      </c>
      <c r="AU14" t="s">
        <v>68</v>
      </c>
      <c r="AV14">
        <v>4</v>
      </c>
      <c r="AW14">
        <v>1</v>
      </c>
      <c r="AX14" t="s">
        <v>215</v>
      </c>
      <c r="AY14" t="s">
        <v>70</v>
      </c>
      <c r="BA14" t="s">
        <v>71</v>
      </c>
      <c r="BB14">
        <v>60.050069748416199</v>
      </c>
      <c r="BC14" t="s">
        <v>216</v>
      </c>
    </row>
    <row r="15" spans="1:55" x14ac:dyDescent="0.35">
      <c r="B15">
        <v>13</v>
      </c>
      <c r="C15">
        <v>13</v>
      </c>
      <c r="D15">
        <v>0</v>
      </c>
      <c r="G15" t="s">
        <v>118</v>
      </c>
      <c r="H15" t="s">
        <v>119</v>
      </c>
      <c r="I15" t="s">
        <v>61</v>
      </c>
      <c r="J15" t="s">
        <v>119</v>
      </c>
      <c r="K15" t="s">
        <v>218</v>
      </c>
      <c r="L15" t="s">
        <v>219</v>
      </c>
      <c r="M15" t="s">
        <v>65</v>
      </c>
      <c r="N15" t="s">
        <v>66</v>
      </c>
      <c r="O15" t="s">
        <v>66</v>
      </c>
      <c r="P15" t="s">
        <v>233</v>
      </c>
      <c r="Q15" t="s">
        <v>68</v>
      </c>
      <c r="V15">
        <v>0</v>
      </c>
      <c r="W15">
        <v>13</v>
      </c>
      <c r="X15">
        <v>13</v>
      </c>
      <c r="Y15">
        <v>9</v>
      </c>
      <c r="Z15">
        <v>84.489643100008806</v>
      </c>
      <c r="AH15">
        <v>84.478572499996503</v>
      </c>
      <c r="AI15">
        <v>84.489643100008806</v>
      </c>
      <c r="AJ15">
        <v>84.489643100008806</v>
      </c>
      <c r="AK15">
        <v>84.489643100008806</v>
      </c>
      <c r="AL15">
        <v>4.4224000012036404E-3</v>
      </c>
      <c r="AM15">
        <v>89.657831400021607</v>
      </c>
      <c r="AN15" t="s">
        <v>119</v>
      </c>
      <c r="AO15" t="s">
        <v>218</v>
      </c>
      <c r="AP15" t="s">
        <v>219</v>
      </c>
      <c r="AQ15" t="s">
        <v>65</v>
      </c>
      <c r="AR15" t="s">
        <v>66</v>
      </c>
      <c r="AS15" t="s">
        <v>66</v>
      </c>
      <c r="AT15" t="s">
        <v>233</v>
      </c>
      <c r="AU15" t="s">
        <v>68</v>
      </c>
      <c r="AV15">
        <v>4</v>
      </c>
      <c r="AW15">
        <v>1</v>
      </c>
      <c r="AX15" t="s">
        <v>215</v>
      </c>
      <c r="AY15" t="s">
        <v>70</v>
      </c>
      <c r="BA15" t="s">
        <v>71</v>
      </c>
      <c r="BB15">
        <v>60.050069748416199</v>
      </c>
      <c r="BC15" t="s">
        <v>216</v>
      </c>
    </row>
    <row r="16" spans="1:55" x14ac:dyDescent="0.35">
      <c r="B16">
        <v>14</v>
      </c>
      <c r="C16">
        <v>14</v>
      </c>
      <c r="D16">
        <v>0</v>
      </c>
      <c r="G16" t="s">
        <v>87</v>
      </c>
      <c r="H16" t="s">
        <v>88</v>
      </c>
      <c r="I16" t="s">
        <v>61</v>
      </c>
      <c r="J16" t="s">
        <v>88</v>
      </c>
      <c r="K16" t="s">
        <v>218</v>
      </c>
      <c r="L16" t="s">
        <v>219</v>
      </c>
      <c r="M16" t="s">
        <v>65</v>
      </c>
      <c r="N16" t="s">
        <v>66</v>
      </c>
      <c r="O16" t="s">
        <v>66</v>
      </c>
      <c r="P16" t="s">
        <v>234</v>
      </c>
      <c r="Q16" t="s">
        <v>68</v>
      </c>
      <c r="V16">
        <v>0</v>
      </c>
      <c r="W16">
        <v>14</v>
      </c>
      <c r="X16">
        <v>14</v>
      </c>
      <c r="Y16">
        <v>11</v>
      </c>
      <c r="Z16">
        <v>89.672872900002403</v>
      </c>
      <c r="AH16">
        <v>89.661436599999405</v>
      </c>
      <c r="AI16">
        <v>89.672872900002403</v>
      </c>
      <c r="AJ16">
        <v>89.672872900002403</v>
      </c>
      <c r="AK16">
        <v>89.672872900002403</v>
      </c>
      <c r="AL16">
        <v>3.4321999992243898E-3</v>
      </c>
      <c r="AM16">
        <v>91.889959899999596</v>
      </c>
      <c r="AN16" t="s">
        <v>88</v>
      </c>
      <c r="AO16" t="s">
        <v>218</v>
      </c>
      <c r="AP16" t="s">
        <v>219</v>
      </c>
      <c r="AQ16" t="s">
        <v>65</v>
      </c>
      <c r="AR16" t="s">
        <v>66</v>
      </c>
      <c r="AS16" t="s">
        <v>66</v>
      </c>
      <c r="AT16" t="s">
        <v>234</v>
      </c>
      <c r="AU16" t="s">
        <v>68</v>
      </c>
      <c r="AV16">
        <v>4</v>
      </c>
      <c r="AW16">
        <v>1</v>
      </c>
      <c r="AX16" t="s">
        <v>215</v>
      </c>
      <c r="AY16" t="s">
        <v>70</v>
      </c>
      <c r="BA16" t="s">
        <v>71</v>
      </c>
      <c r="BB16">
        <v>60.050069748416199</v>
      </c>
      <c r="BC16" t="s">
        <v>216</v>
      </c>
    </row>
    <row r="17" spans="2:55" x14ac:dyDescent="0.35">
      <c r="B17">
        <v>15</v>
      </c>
      <c r="C17">
        <v>15</v>
      </c>
      <c r="D17">
        <v>0</v>
      </c>
      <c r="G17" t="s">
        <v>131</v>
      </c>
      <c r="H17" t="s">
        <v>132</v>
      </c>
      <c r="I17" t="s">
        <v>81</v>
      </c>
      <c r="J17" t="s">
        <v>132</v>
      </c>
      <c r="K17" t="s">
        <v>218</v>
      </c>
      <c r="L17" t="s">
        <v>219</v>
      </c>
      <c r="M17" t="s">
        <v>65</v>
      </c>
      <c r="N17" t="s">
        <v>66</v>
      </c>
      <c r="O17" t="s">
        <v>66</v>
      </c>
      <c r="P17" t="s">
        <v>235</v>
      </c>
      <c r="Q17" t="s">
        <v>68</v>
      </c>
      <c r="V17">
        <v>0</v>
      </c>
      <c r="W17">
        <v>15</v>
      </c>
      <c r="X17">
        <v>15</v>
      </c>
      <c r="Y17">
        <v>19</v>
      </c>
      <c r="Z17">
        <v>91.905869700014506</v>
      </c>
      <c r="AH17">
        <v>91.894591899996101</v>
      </c>
      <c r="AI17">
        <v>91.905869700014506</v>
      </c>
      <c r="AJ17">
        <v>91.905869700014506</v>
      </c>
      <c r="AK17">
        <v>91.905869700014506</v>
      </c>
      <c r="AL17">
        <v>4.5361999946180696E-3</v>
      </c>
      <c r="AM17">
        <v>94.107325100019807</v>
      </c>
      <c r="AN17" t="s">
        <v>132</v>
      </c>
      <c r="AO17" t="s">
        <v>218</v>
      </c>
      <c r="AP17" t="s">
        <v>219</v>
      </c>
      <c r="AQ17" t="s">
        <v>65</v>
      </c>
      <c r="AR17" t="s">
        <v>66</v>
      </c>
      <c r="AS17" t="s">
        <v>66</v>
      </c>
      <c r="AT17" t="s">
        <v>235</v>
      </c>
      <c r="AU17" t="s">
        <v>68</v>
      </c>
      <c r="AV17">
        <v>4</v>
      </c>
      <c r="AW17">
        <v>1</v>
      </c>
      <c r="AX17" t="s">
        <v>215</v>
      </c>
      <c r="AY17" t="s">
        <v>70</v>
      </c>
      <c r="BA17" t="s">
        <v>71</v>
      </c>
      <c r="BB17">
        <v>60.050069748416199</v>
      </c>
      <c r="BC17" t="s">
        <v>216</v>
      </c>
    </row>
    <row r="18" spans="2:55" x14ac:dyDescent="0.35">
      <c r="B18">
        <v>16</v>
      </c>
      <c r="C18">
        <v>16</v>
      </c>
      <c r="D18">
        <v>0</v>
      </c>
      <c r="G18" t="s">
        <v>73</v>
      </c>
      <c r="H18" t="s">
        <v>74</v>
      </c>
      <c r="I18" t="s">
        <v>61</v>
      </c>
      <c r="J18" t="s">
        <v>74</v>
      </c>
      <c r="K18" t="s">
        <v>218</v>
      </c>
      <c r="L18" t="s">
        <v>219</v>
      </c>
      <c r="M18" t="s">
        <v>65</v>
      </c>
      <c r="N18" t="s">
        <v>66</v>
      </c>
      <c r="O18" t="s">
        <v>66</v>
      </c>
      <c r="P18" t="s">
        <v>236</v>
      </c>
      <c r="Q18" t="s">
        <v>68</v>
      </c>
      <c r="V18">
        <v>0</v>
      </c>
      <c r="W18">
        <v>16</v>
      </c>
      <c r="X18">
        <v>16</v>
      </c>
      <c r="Y18">
        <v>0</v>
      </c>
      <c r="Z18">
        <v>94.122249900014097</v>
      </c>
      <c r="AH18">
        <v>94.111089000012697</v>
      </c>
      <c r="AI18">
        <v>94.122249900014097</v>
      </c>
      <c r="AJ18">
        <v>94.122249900014097</v>
      </c>
      <c r="AK18">
        <v>94.122249900014097</v>
      </c>
      <c r="AL18">
        <v>3.65159998182207E-3</v>
      </c>
      <c r="AM18">
        <v>96.389968000003094</v>
      </c>
      <c r="AN18" t="s">
        <v>74</v>
      </c>
      <c r="AO18" t="s">
        <v>218</v>
      </c>
      <c r="AP18" t="s">
        <v>219</v>
      </c>
      <c r="AQ18" t="s">
        <v>65</v>
      </c>
      <c r="AR18" t="s">
        <v>66</v>
      </c>
      <c r="AS18" t="s">
        <v>66</v>
      </c>
      <c r="AT18" t="s">
        <v>236</v>
      </c>
      <c r="AU18" t="s">
        <v>68</v>
      </c>
      <c r="AV18">
        <v>4</v>
      </c>
      <c r="AW18">
        <v>1</v>
      </c>
      <c r="AX18" t="s">
        <v>215</v>
      </c>
      <c r="AY18" t="s">
        <v>70</v>
      </c>
      <c r="BA18" t="s">
        <v>71</v>
      </c>
      <c r="BB18">
        <v>60.050069748416199</v>
      </c>
      <c r="BC18" t="s">
        <v>216</v>
      </c>
    </row>
    <row r="19" spans="2:55" x14ac:dyDescent="0.35">
      <c r="B19">
        <v>17</v>
      </c>
      <c r="C19">
        <v>17</v>
      </c>
      <c r="D19">
        <v>0</v>
      </c>
      <c r="G19" t="s">
        <v>109</v>
      </c>
      <c r="H19" t="s">
        <v>110</v>
      </c>
      <c r="I19" t="s">
        <v>81</v>
      </c>
      <c r="J19" t="s">
        <v>110</v>
      </c>
      <c r="K19" t="s">
        <v>218</v>
      </c>
      <c r="L19" t="s">
        <v>219</v>
      </c>
      <c r="M19" t="s">
        <v>65</v>
      </c>
      <c r="N19" t="s">
        <v>66</v>
      </c>
      <c r="O19" t="s">
        <v>66</v>
      </c>
      <c r="P19" t="s">
        <v>237</v>
      </c>
      <c r="Q19" t="s">
        <v>68</v>
      </c>
      <c r="V19">
        <v>0</v>
      </c>
      <c r="W19">
        <v>17</v>
      </c>
      <c r="X19">
        <v>17</v>
      </c>
      <c r="Y19">
        <v>18</v>
      </c>
      <c r="Z19">
        <v>96.405395800014901</v>
      </c>
      <c r="AH19">
        <v>96.393157500016898</v>
      </c>
      <c r="AI19">
        <v>96.405395800014901</v>
      </c>
      <c r="AJ19">
        <v>96.405395800014901</v>
      </c>
      <c r="AK19">
        <v>96.405395800014901</v>
      </c>
      <c r="AL19">
        <v>3.07560001965612E-3</v>
      </c>
      <c r="AM19">
        <v>98.139408000017198</v>
      </c>
      <c r="AN19" t="s">
        <v>110</v>
      </c>
      <c r="AO19" t="s">
        <v>218</v>
      </c>
      <c r="AP19" t="s">
        <v>219</v>
      </c>
      <c r="AQ19" t="s">
        <v>65</v>
      </c>
      <c r="AR19" t="s">
        <v>66</v>
      </c>
      <c r="AS19" t="s">
        <v>66</v>
      </c>
      <c r="AT19" t="s">
        <v>237</v>
      </c>
      <c r="AU19" t="s">
        <v>68</v>
      </c>
      <c r="AV19">
        <v>4</v>
      </c>
      <c r="AW19">
        <v>1</v>
      </c>
      <c r="AX19" t="s">
        <v>215</v>
      </c>
      <c r="AY19" t="s">
        <v>70</v>
      </c>
      <c r="BA19" t="s">
        <v>71</v>
      </c>
      <c r="BB19">
        <v>60.050069748416199</v>
      </c>
      <c r="BC19" t="s">
        <v>216</v>
      </c>
    </row>
    <row r="20" spans="2:55" x14ac:dyDescent="0.35">
      <c r="B20">
        <v>18</v>
      </c>
      <c r="C20">
        <v>18</v>
      </c>
      <c r="D20">
        <v>0</v>
      </c>
      <c r="G20" t="s">
        <v>112</v>
      </c>
      <c r="H20" t="s">
        <v>113</v>
      </c>
      <c r="I20" t="s">
        <v>61</v>
      </c>
      <c r="J20" t="s">
        <v>113</v>
      </c>
      <c r="K20" t="s">
        <v>238</v>
      </c>
      <c r="L20" t="s">
        <v>239</v>
      </c>
      <c r="M20" t="s">
        <v>65</v>
      </c>
      <c r="N20" t="s">
        <v>66</v>
      </c>
      <c r="O20" t="s">
        <v>66</v>
      </c>
      <c r="P20" t="s">
        <v>240</v>
      </c>
      <c r="Q20" t="s">
        <v>68</v>
      </c>
      <c r="V20">
        <v>0</v>
      </c>
      <c r="W20">
        <v>18</v>
      </c>
      <c r="X20">
        <v>18</v>
      </c>
      <c r="Y20">
        <v>8</v>
      </c>
      <c r="Z20">
        <v>98.155591300019296</v>
      </c>
      <c r="AH20">
        <v>98.142155500012393</v>
      </c>
      <c r="AI20">
        <v>98.155591300019296</v>
      </c>
      <c r="AJ20">
        <v>98.155591300019296</v>
      </c>
      <c r="AK20">
        <v>98.155591300019296</v>
      </c>
      <c r="AL20">
        <v>2.6568000030238099E-3</v>
      </c>
      <c r="AM20">
        <v>101.29067350001399</v>
      </c>
      <c r="AN20" t="s">
        <v>113</v>
      </c>
      <c r="AO20" t="s">
        <v>238</v>
      </c>
      <c r="AP20" t="s">
        <v>239</v>
      </c>
      <c r="AQ20" t="s">
        <v>65</v>
      </c>
      <c r="AR20" t="s">
        <v>66</v>
      </c>
      <c r="AS20" t="s">
        <v>66</v>
      </c>
      <c r="AT20" t="s">
        <v>240</v>
      </c>
      <c r="AU20" t="s">
        <v>68</v>
      </c>
      <c r="AV20">
        <v>4</v>
      </c>
      <c r="AW20">
        <v>1</v>
      </c>
      <c r="AX20" t="s">
        <v>215</v>
      </c>
      <c r="AY20" t="s">
        <v>70</v>
      </c>
      <c r="BA20" t="s">
        <v>71</v>
      </c>
      <c r="BB20">
        <v>60.050069748416199</v>
      </c>
      <c r="BC20" t="s">
        <v>216</v>
      </c>
    </row>
    <row r="21" spans="2:55" x14ac:dyDescent="0.35">
      <c r="B21">
        <v>19</v>
      </c>
      <c r="C21">
        <v>19</v>
      </c>
      <c r="D21">
        <v>0</v>
      </c>
      <c r="G21" t="s">
        <v>122</v>
      </c>
      <c r="H21" t="s">
        <v>120</v>
      </c>
      <c r="I21" t="s">
        <v>61</v>
      </c>
      <c r="J21" t="s">
        <v>120</v>
      </c>
      <c r="K21" t="s">
        <v>238</v>
      </c>
      <c r="L21" t="s">
        <v>239</v>
      </c>
      <c r="M21" t="s">
        <v>65</v>
      </c>
      <c r="N21" t="s">
        <v>66</v>
      </c>
      <c r="O21" t="s">
        <v>66</v>
      </c>
      <c r="P21" t="s">
        <v>241</v>
      </c>
      <c r="Q21" t="s">
        <v>68</v>
      </c>
      <c r="V21">
        <v>0</v>
      </c>
      <c r="W21">
        <v>19</v>
      </c>
      <c r="X21">
        <v>19</v>
      </c>
      <c r="Y21">
        <v>4</v>
      </c>
      <c r="Z21">
        <v>101.305474399996</v>
      </c>
      <c r="AH21">
        <v>101.294585299998</v>
      </c>
      <c r="AI21">
        <v>101.305474399996</v>
      </c>
      <c r="AJ21">
        <v>101.305474399996</v>
      </c>
      <c r="AK21">
        <v>101.305474399996</v>
      </c>
      <c r="AL21">
        <v>3.7112999998498699E-3</v>
      </c>
      <c r="AM21">
        <v>103.240028900007</v>
      </c>
      <c r="AN21" t="s">
        <v>120</v>
      </c>
      <c r="AO21" t="s">
        <v>238</v>
      </c>
      <c r="AP21" t="s">
        <v>239</v>
      </c>
      <c r="AQ21" t="s">
        <v>65</v>
      </c>
      <c r="AR21" t="s">
        <v>66</v>
      </c>
      <c r="AS21" t="s">
        <v>66</v>
      </c>
      <c r="AT21" t="s">
        <v>241</v>
      </c>
      <c r="AU21" t="s">
        <v>68</v>
      </c>
      <c r="AV21">
        <v>4</v>
      </c>
      <c r="AW21">
        <v>1</v>
      </c>
      <c r="AX21" t="s">
        <v>215</v>
      </c>
      <c r="AY21" t="s">
        <v>70</v>
      </c>
      <c r="BA21" t="s">
        <v>71</v>
      </c>
      <c r="BB21">
        <v>60.050069748416199</v>
      </c>
      <c r="BC21" t="s">
        <v>216</v>
      </c>
    </row>
    <row r="23" spans="2:55" x14ac:dyDescent="0.35">
      <c r="J23" t="s">
        <v>141</v>
      </c>
      <c r="K23">
        <v>12</v>
      </c>
      <c r="L23">
        <f>12/15</f>
        <v>0.8</v>
      </c>
    </row>
    <row r="24" spans="2:55" x14ac:dyDescent="0.35">
      <c r="J24" t="s">
        <v>142</v>
      </c>
      <c r="K24">
        <v>5</v>
      </c>
      <c r="L24">
        <f>5/5</f>
        <v>1</v>
      </c>
    </row>
    <row r="25" spans="2:55" x14ac:dyDescent="0.35">
      <c r="J25" t="s">
        <v>143</v>
      </c>
      <c r="K25">
        <f>L23-L24</f>
        <v>-0.19999999999999996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2025-10-19T15:40:23Z</dcterms:created>
  <dcterms:modified xsi:type="dcterms:W3CDTF">2025-10-19T15:58:02Z</dcterms:modified>
</cp:coreProperties>
</file>